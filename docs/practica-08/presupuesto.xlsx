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esupuesto" sheetId="1" state="visible" r:id="rId3"/>
    <sheet name="Base P5" sheetId="2" state="visible" r:id="rId4"/>
    <sheet name="Esfuerzo" sheetId="3" state="visible" r:id="rId5"/>
    <sheet name="Contingencia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<sst xmlns="http://schemas.openxmlformats.org/spreadsheetml/2006/main" count="125" uniqueCount="114">
  <si>
    <t xml:space="preserve">Presupuesto del proyecto de reingeniería (MXN)</t>
  </si>
  <si>
    <t xml:space="preserve">Costo por persona-mes tomado de la Práctica 5. Azul = dato editable; verde = viene de otra hoja.</t>
  </si>
  <si>
    <t xml:space="preserve">Fase / Milestone</t>
  </si>
  <si>
    <t xml:space="preserve">% del esfuerzo</t>
  </si>
  <si>
    <t xml:space="preserve">Personas-mes</t>
  </si>
  <si>
    <t xml:space="preserve">Costo (MXN)</t>
  </si>
  <si>
    <t xml:space="preserve">Fase 1. Gestión del proyecto</t>
  </si>
  <si>
    <t xml:space="preserve">Fase 2. Análisis y diseño</t>
  </si>
  <si>
    <t xml:space="preserve">Fase 3. Desarrollo</t>
  </si>
  <si>
    <t xml:space="preserve">Fase 4. Calidad y pruebas</t>
  </si>
  <si>
    <t xml:space="preserve">Fase 5. Depuración del repositorio</t>
  </si>
  <si>
    <t xml:space="preserve">Fase 6. Despliegue y cierre</t>
  </si>
  <si>
    <t xml:space="preserve">Subtotal de personal</t>
  </si>
  <si>
    <t xml:space="preserve">Otros costos directos</t>
  </si>
  <si>
    <t xml:space="preserve">Cantidad</t>
  </si>
  <si>
    <t xml:space="preserve">Costo unitario (MXN)</t>
  </si>
  <si>
    <t xml:space="preserve">Infraestructura y hosting, pruebas y producción (meses)</t>
  </si>
  <si>
    <t xml:space="preserve">Licencias y herramientas: dominio, certificado SSL, respaldos (paquete)</t>
  </si>
  <si>
    <t xml:space="preserve">Capacitación a usuarios y administradores (paquete)</t>
  </si>
  <si>
    <t xml:space="preserve">Asesoría jurídica: aviso de privacidad y licencia del repositorio (paquete)</t>
  </si>
  <si>
    <t xml:space="preserve">Subtotal otros costos</t>
  </si>
  <si>
    <t xml:space="preserve">—</t>
  </si>
  <si>
    <t xml:space="preserve">Resumen</t>
  </si>
  <si>
    <t xml:space="preserve">Porcentaje</t>
  </si>
  <si>
    <t xml:space="preserve">Base de cálculo (MXN)</t>
  </si>
  <si>
    <t xml:space="preserve">Monto (MXN)</t>
  </si>
  <si>
    <t xml:space="preserve">Costo directo total (personal + otros)</t>
  </si>
  <si>
    <t xml:space="preserve">Reserva para contingencias (sobre costo directo)</t>
  </si>
  <si>
    <t xml:space="preserve">Total antes de IVA</t>
  </si>
  <si>
    <t xml:space="preserve">IVA</t>
  </si>
  <si>
    <t xml:space="preserve">PRECIO TOTAL DE LA PROPUESTA</t>
  </si>
  <si>
    <t xml:space="preserve">Duración</t>
  </si>
  <si>
    <t xml:space="preserve">Valor</t>
  </si>
  <si>
    <t xml:space="preserve">Unidad</t>
  </si>
  <si>
    <t xml:space="preserve">Fuente</t>
  </si>
  <si>
    <t xml:space="preserve">Duración según cronograma (01/10/2026 a 28/05/2027)</t>
  </si>
  <si>
    <t xml:space="preserve">meses</t>
  </si>
  <si>
    <t xml:space="preserve">cronograma.png (Práctica 8)</t>
  </si>
  <si>
    <t xml:space="preserve">Personal promedio equivalente</t>
  </si>
  <si>
    <t xml:space="preserve">personas</t>
  </si>
  <si>
    <t xml:space="preserve">Personas-mes ÷ duración</t>
  </si>
  <si>
    <t xml:space="preserve">Tiempo COCOMO de la Práctica 5</t>
  </si>
  <si>
    <t xml:space="preserve">Práctica 5 (referencia)</t>
  </si>
  <si>
    <t xml:space="preserve">Duración real del desarrollo original</t>
  </si>
  <si>
    <t xml:space="preserve">historial.txt: 86 días entre commits</t>
  </si>
  <si>
    <t xml:space="preserve">Nota: los otros costos directos son SUPUESTOS; no vienen de la Práctica 5.</t>
  </si>
  <si>
    <t xml:space="preserve">Base de estimación (Práctica 5)</t>
  </si>
  <si>
    <t xml:space="preserve">Datos tomados de estimacion.xlsx y estimacion.md. Azul = dato de entrada; negro = fórmula.</t>
  </si>
  <si>
    <t xml:space="preserve">Concepto</t>
  </si>
  <si>
    <t xml:space="preserve">Fuente / nota</t>
  </si>
  <si>
    <t xml:space="preserve">KLOC de código propio</t>
  </si>
  <si>
    <t xml:space="preserve">Práctica 5, conteo LOC (11,039 líneas)</t>
  </si>
  <si>
    <t xml:space="preserve">Esfuerzo COCOMO orgánico (personas-mes)</t>
  </si>
  <si>
    <t xml:space="preserve">E = 2.4 × KLOC^1.05</t>
  </si>
  <si>
    <t xml:space="preserve">Tiempo COCOMO (meses)</t>
  </si>
  <si>
    <t xml:space="preserve">T = 2.5 × E^0.38</t>
  </si>
  <si>
    <t xml:space="preserve">Puntos de función sin ajustar</t>
  </si>
  <si>
    <t xml:space="preserve">Práctica 5, complejidad media</t>
  </si>
  <si>
    <t xml:space="preserve">Productividad (horas/PF)</t>
  </si>
  <si>
    <t xml:space="preserve">Práctica 5 (Capers Jones / SPR / ISBSG, PHP)</t>
  </si>
  <si>
    <t xml:space="preserve">Horas-persona por mes</t>
  </si>
  <si>
    <t xml:space="preserve">Práctica 5</t>
  </si>
  <si>
    <t xml:space="preserve">Esfuerzo Puntos de Función (personas-mes)</t>
  </si>
  <si>
    <t xml:space="preserve">249 PF × 7 h / 160 h</t>
  </si>
  <si>
    <t xml:space="preserve">Salario mensual desarrollador junior (MXN)</t>
  </si>
  <si>
    <t xml:space="preserve">Práctica 5 (Indeed / OCC, San Luis Potosí)</t>
  </si>
  <si>
    <t xml:space="preserve">Costos indirectos</t>
  </si>
  <si>
    <t xml:space="preserve">Costo mensual cargado por persona (MXN)</t>
  </si>
  <si>
    <t xml:space="preserve">Práctica 5: $18,750/mes</t>
  </si>
  <si>
    <t xml:space="preserve">Costo estimado COCOMO (MXN)</t>
  </si>
  <si>
    <t xml:space="preserve">Costo estimado Puntos de Función (MXN)</t>
  </si>
  <si>
    <t xml:space="preserve">Esfuerzo de consenso (personas-mes)</t>
  </si>
  <si>
    <t xml:space="preserve">SUPUESTO: la Ronda Delphi quedó pendiente (delphi.md); se usa el promedio de ambos métodos. Sustituir por la cifra de consenso cuando la tengas.</t>
  </si>
  <si>
    <t xml:space="preserve">Esfuerzo ajustado al nuevo alcance</t>
  </si>
  <si>
    <t xml:space="preserve">Del esfuerzo de consenso de la Práctica 5 al esfuerzo del proyecto de reingeniería.</t>
  </si>
  <si>
    <t xml:space="preserve">Nota</t>
  </si>
  <si>
    <t xml:space="preserve">Esfuerzo de consenso (Práctica 5)</t>
  </si>
  <si>
    <t xml:space="preserve">Vinculado a la hoja Base P5</t>
  </si>
  <si>
    <t xml:space="preserve">Factor de reutilización</t>
  </si>
  <si>
    <t xml:space="preserve">SUPUESTO: se conserva la lógica de negocio y las 17 tablas; se reescribe la capa técnica</t>
  </si>
  <si>
    <t xml:space="preserve">Esfuerzo base ajustado</t>
  </si>
  <si>
    <t xml:space="preserve">Migración a framework actual</t>
  </si>
  <si>
    <t xml:space="preserve">Trabajo adicional del nuevo alcance</t>
  </si>
  <si>
    <t xml:space="preserve">Hallazgo que atiende</t>
  </si>
  <si>
    <t xml:space="preserve">Protección de datos y seguridad (hash de contraseñas, secretos fuera del código, retiro de datos personales del repositorio, aviso de privacidad y derechos ARCO)</t>
  </si>
  <si>
    <t xml:space="preserve">Top 10 de riesgos: #1, #2, #3, #4 y #8</t>
  </si>
  <si>
    <t xml:space="preserve">Rediseño de base de datos (llaves foráneas, normalizar solicitudes, unificar referencia a usuario, tipos de dato, script único versionado)</t>
  </si>
  <si>
    <t xml:space="preserve">evaluacion-modelo.md y Top 10 #7</t>
  </si>
  <si>
    <t xml:space="preserve">Pruebas automáticas y documentación técnica (README, manual de instalación)</t>
  </si>
  <si>
    <t xml:space="preserve">Top 10 #5 y #10</t>
  </si>
  <si>
    <t xml:space="preserve">Subtotal trabajo adicional</t>
  </si>
  <si>
    <t xml:space="preserve">Suma de los tres conceptos</t>
  </si>
  <si>
    <t xml:space="preserve">ESFUERZO TOTAL DEL PROYECTO</t>
  </si>
  <si>
    <t xml:space="preserve">Base ajustada + trabajo adicional</t>
  </si>
  <si>
    <t xml:space="preserve">Reserva para contingencias sustentada en el Top 10 (Práctica 7)</t>
  </si>
  <si>
    <t xml:space="preserve">La reserva crece con la exposición promedio de los riesgos acordados el 28 de septiembre de 2026.</t>
  </si>
  <si>
    <t xml:space="preserve">#</t>
  </si>
  <si>
    <t xml:space="preserve">Riesgo</t>
  </si>
  <si>
    <t xml:space="preserve">Exposición</t>
  </si>
  <si>
    <t xml:space="preserve">Documentos personales y respaldos .sql en el repositorio</t>
  </si>
  <si>
    <t xml:space="preserve">Credenciales y claves en el código</t>
  </si>
  <si>
    <t xml:space="preserve">Contraseñas en texto plano</t>
  </si>
  <si>
    <t xml:space="preserve">Sin aviso de privacidad ni protección de datos</t>
  </si>
  <si>
    <t xml:space="preserve">Un solo desarrollador, sin mantenimiento desde 2021</t>
  </si>
  <si>
    <t xml:space="preserve">PHP 7.2.34 fuera de soporte</t>
  </si>
  <si>
    <t xml:space="preserve">Script de BD incompleto y tres versiones de respaldo</t>
  </si>
  <si>
    <t xml:space="preserve">Conexión a la BD con root sin contraseña</t>
  </si>
  <si>
    <t xml:space="preserve">Repositorio sin licencia</t>
  </si>
  <si>
    <t xml:space="preserve">Sin pruebas automáticas</t>
  </si>
  <si>
    <t xml:space="preserve">Exposición promedio</t>
  </si>
  <si>
    <t xml:space="preserve">Exposición máxima de la escala (5 × 5)</t>
  </si>
  <si>
    <t xml:space="preserve">Contingencia máxima (con exposición máxima)</t>
  </si>
  <si>
    <t xml:space="preserve">% de contingencia aplicado</t>
  </si>
  <si>
    <t xml:space="preserve">SUPUESTO: el 25% máximo es un criterio propio (el rango habitual de reserva es 10-25%). Ajusta C18 si tu docente pide otro.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</si>
</sst>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%"/>
    <numFmt numFmtId="166" formatCode="0.0"/>
    <numFmt numFmtId="167" formatCode="\$#,##0;&quot;($&quot;#,##0\);\-"/>
    <numFmt numFmtId="168" formatCode="0"/>
    <numFmt numFmtId="169" formatCode="0.000"/>
    <numFmt numFmtId="170" formatCode="0.00"/>
    <numFmt numFmtId="171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8"/>
    <col collapsed="false" customWidth="true" hidden="false" outlineLevel="0" max="2" min="2" style="0" width="16"/>
    <col collapsed="false" customWidth="true" hidden="false" outlineLevel="0" max="3" min="3" style="0" width="24"/>
    <col collapsed="false" customWidth="true" hidden="false" outlineLevel="0" max="4" min="4" style="0" width="3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n">
        <v>0.12</v>
      </c>
      <c r="C5" s="6" t="n">
        <f aca="false">B5*Esfuerzo!$B$15</f>
        <v>2.25222841143736</v>
      </c>
      <c r="D5" s="7" t="n">
        <f aca="false">C5*'Base P5'!$B$14</f>
        <v>42229.2827144504</v>
      </c>
    </row>
    <row r="6" customFormat="false" ht="15" hidden="false" customHeight="false" outlineLevel="0" collapsed="false">
      <c r="A6" s="4" t="s">
        <v>7</v>
      </c>
      <c r="B6" s="5" t="n">
        <v>0.13</v>
      </c>
      <c r="C6" s="6" t="n">
        <f aca="false">B6*Esfuerzo!$B$15</f>
        <v>2.43991411239047</v>
      </c>
      <c r="D6" s="7" t="n">
        <f aca="false">C6*'Base P5'!$B$14</f>
        <v>45748.3896073213</v>
      </c>
    </row>
    <row r="7" customFormat="false" ht="15" hidden="false" customHeight="false" outlineLevel="0" collapsed="false">
      <c r="A7" s="4" t="s">
        <v>8</v>
      </c>
      <c r="B7" s="5" t="n">
        <v>0.4</v>
      </c>
      <c r="C7" s="6" t="n">
        <f aca="false">B7*Esfuerzo!$B$15</f>
        <v>7.50742803812452</v>
      </c>
      <c r="D7" s="7" t="n">
        <f aca="false">C7*'Base P5'!$B$14</f>
        <v>140764.275714835</v>
      </c>
    </row>
    <row r="8" customFormat="false" ht="15" hidden="false" customHeight="false" outlineLevel="0" collapsed="false">
      <c r="A8" s="4" t="s">
        <v>9</v>
      </c>
      <c r="B8" s="5" t="n">
        <v>0.15</v>
      </c>
      <c r="C8" s="6" t="n">
        <f aca="false">B8*Esfuerzo!$B$15</f>
        <v>2.8152855142967</v>
      </c>
      <c r="D8" s="7" t="n">
        <f aca="false">C8*'Base P5'!$B$14</f>
        <v>52786.6033930631</v>
      </c>
    </row>
    <row r="9" customFormat="false" ht="15" hidden="false" customHeight="false" outlineLevel="0" collapsed="false">
      <c r="A9" s="4" t="s">
        <v>10</v>
      </c>
      <c r="B9" s="5" t="n">
        <v>0.06</v>
      </c>
      <c r="C9" s="6" t="n">
        <f aca="false">B9*Esfuerzo!$B$15</f>
        <v>1.12611420571868</v>
      </c>
      <c r="D9" s="7" t="n">
        <f aca="false">C9*'Base P5'!$B$14</f>
        <v>21114.6413572252</v>
      </c>
    </row>
    <row r="10" customFormat="false" ht="15" hidden="false" customHeight="false" outlineLevel="0" collapsed="false">
      <c r="A10" s="4" t="s">
        <v>11</v>
      </c>
      <c r="B10" s="5" t="n">
        <v>0.14</v>
      </c>
      <c r="C10" s="6" t="n">
        <f aca="false">B10*Esfuerzo!$B$15</f>
        <v>2.62759981334358</v>
      </c>
      <c r="D10" s="7" t="n">
        <f aca="false">C10*'Base P5'!$B$14</f>
        <v>49267.4965001922</v>
      </c>
    </row>
    <row r="11" customFormat="false" ht="15" hidden="false" customHeight="false" outlineLevel="0" collapsed="false">
      <c r="A11" s="8" t="s">
        <v>12</v>
      </c>
      <c r="B11" s="9" t="n">
        <f aca="false">SUM(B5:B10)</f>
        <v>1</v>
      </c>
      <c r="C11" s="10" t="n">
        <f aca="false">SUM(C5:C10)</f>
        <v>18.7685700953113</v>
      </c>
      <c r="D11" s="11" t="n">
        <f aca="false">SUM(D5:D10)</f>
        <v>351910.689287087</v>
      </c>
    </row>
    <row r="13" customFormat="false" ht="15" hidden="false" customHeight="false" outlineLevel="0" collapsed="false">
      <c r="A13" s="3" t="s">
        <v>13</v>
      </c>
      <c r="B13" s="3" t="s">
        <v>14</v>
      </c>
      <c r="C13" s="3" t="s">
        <v>15</v>
      </c>
      <c r="D13" s="3" t="s">
        <v>5</v>
      </c>
    </row>
    <row r="14" customFormat="false" ht="15" hidden="false" customHeight="false" outlineLevel="0" collapsed="false">
      <c r="A14" s="4" t="s">
        <v>16</v>
      </c>
      <c r="B14" s="12" t="n">
        <v>6</v>
      </c>
      <c r="C14" s="13" t="n">
        <v>4000</v>
      </c>
      <c r="D14" s="14" t="n">
        <f aca="false">B14*C14</f>
        <v>24000</v>
      </c>
    </row>
    <row r="15" customFormat="false" ht="15" hidden="false" customHeight="false" outlineLevel="0" collapsed="false">
      <c r="A15" s="4" t="s">
        <v>17</v>
      </c>
      <c r="B15" s="12" t="n">
        <v>1</v>
      </c>
      <c r="C15" s="13" t="n">
        <v>8000</v>
      </c>
      <c r="D15" s="14" t="n">
        <f aca="false">B15*C15</f>
        <v>8000</v>
      </c>
    </row>
    <row r="16" customFormat="false" ht="15" hidden="false" customHeight="false" outlineLevel="0" collapsed="false">
      <c r="A16" s="4" t="s">
        <v>18</v>
      </c>
      <c r="B16" s="12" t="n">
        <v>1</v>
      </c>
      <c r="C16" s="13" t="n">
        <v>15000</v>
      </c>
      <c r="D16" s="14" t="n">
        <f aca="false">B16*C16</f>
        <v>15000</v>
      </c>
    </row>
    <row r="17" customFormat="false" ht="15" hidden="false" customHeight="false" outlineLevel="0" collapsed="false">
      <c r="A17" s="4" t="s">
        <v>19</v>
      </c>
      <c r="B17" s="12" t="n">
        <v>1</v>
      </c>
      <c r="C17" s="13" t="n">
        <v>15000</v>
      </c>
      <c r="D17" s="14" t="n">
        <f aca="false">B17*C17</f>
        <v>15000</v>
      </c>
    </row>
    <row r="18" customFormat="false" ht="15" hidden="false" customHeight="false" outlineLevel="0" collapsed="false">
      <c r="A18" s="8" t="s">
        <v>20</v>
      </c>
      <c r="B18" s="8" t="s">
        <v>21</v>
      </c>
      <c r="C18" s="8" t="s">
        <v>21</v>
      </c>
      <c r="D18" s="11" t="n">
        <f aca="false">SUM(D14:D17)</f>
        <v>62000</v>
      </c>
    </row>
    <row r="20" customFormat="false" ht="15" hidden="false" customHeight="false" outlineLevel="0" collapsed="false">
      <c r="A20" s="3" t="s">
        <v>22</v>
      </c>
      <c r="B20" s="3" t="s">
        <v>23</v>
      </c>
      <c r="C20" s="3" t="s">
        <v>24</v>
      </c>
      <c r="D20" s="3" t="s">
        <v>25</v>
      </c>
    </row>
    <row r="21" customFormat="false" ht="15" hidden="false" customHeight="false" outlineLevel="0" collapsed="false">
      <c r="A21" s="15" t="s">
        <v>26</v>
      </c>
      <c r="B21" s="16" t="n">
        <v>1</v>
      </c>
      <c r="C21" s="14" t="n">
        <f aca="false">D11+D18</f>
        <v>413910.689287087</v>
      </c>
      <c r="D21" s="17" t="n">
        <f aca="false">B21*C21</f>
        <v>413910.689287087</v>
      </c>
    </row>
    <row r="22" customFormat="false" ht="15" hidden="false" customHeight="false" outlineLevel="0" collapsed="false">
      <c r="A22" s="4" t="s">
        <v>27</v>
      </c>
      <c r="B22" s="18" t="n">
        <f aca="false">Contingencia!C19</f>
        <v>0.2</v>
      </c>
      <c r="C22" s="14" t="n">
        <f aca="false">D21</f>
        <v>413910.689287087</v>
      </c>
      <c r="D22" s="14" t="n">
        <f aca="false">B22*C22</f>
        <v>82782.1378574174</v>
      </c>
    </row>
    <row r="23" customFormat="false" ht="15" hidden="false" customHeight="false" outlineLevel="0" collapsed="false">
      <c r="A23" s="8" t="s">
        <v>28</v>
      </c>
      <c r="B23" s="19" t="n">
        <v>1</v>
      </c>
      <c r="C23" s="20" t="n">
        <f aca="false">D21+D22</f>
        <v>496692.827144504</v>
      </c>
      <c r="D23" s="11" t="n">
        <f aca="false">B23*C23</f>
        <v>496692.827144504</v>
      </c>
    </row>
    <row r="24" customFormat="false" ht="15" hidden="false" customHeight="false" outlineLevel="0" collapsed="false">
      <c r="A24" s="4" t="s">
        <v>29</v>
      </c>
      <c r="B24" s="5" t="n">
        <v>0.16</v>
      </c>
      <c r="C24" s="14" t="n">
        <f aca="false">D23</f>
        <v>496692.827144504</v>
      </c>
      <c r="D24" s="14" t="n">
        <f aca="false">B24*C24</f>
        <v>79470.8523431207</v>
      </c>
    </row>
    <row r="25" customFormat="false" ht="15" hidden="false" customHeight="false" outlineLevel="0" collapsed="false">
      <c r="A25" s="8" t="s">
        <v>30</v>
      </c>
      <c r="B25" s="19" t="n">
        <v>1</v>
      </c>
      <c r="C25" s="20" t="n">
        <f aca="false">D23+D24</f>
        <v>576163.679487625</v>
      </c>
      <c r="D25" s="11" t="n">
        <f aca="false">B25*C25</f>
        <v>576163.679487625</v>
      </c>
    </row>
    <row r="27" customFormat="false" ht="15" hidden="false" customHeight="false" outlineLevel="0" collapsed="false">
      <c r="A27" s="3" t="s">
        <v>31</v>
      </c>
      <c r="B27" s="3" t="s">
        <v>32</v>
      </c>
      <c r="C27" s="3" t="s">
        <v>33</v>
      </c>
      <c r="D27" s="3" t="s">
        <v>34</v>
      </c>
    </row>
    <row r="28" customFormat="false" ht="15" hidden="false" customHeight="false" outlineLevel="0" collapsed="false">
      <c r="A28" s="8" t="s">
        <v>35</v>
      </c>
      <c r="B28" s="10" t="n">
        <f aca="false">(DATE(2027,5,28)-DATE(2026,10,1))/30.4</f>
        <v>7.86184210526316</v>
      </c>
      <c r="C28" s="21" t="s">
        <v>36</v>
      </c>
      <c r="D28" s="21" t="s">
        <v>37</v>
      </c>
    </row>
    <row r="29" customFormat="false" ht="15" hidden="false" customHeight="false" outlineLevel="0" collapsed="false">
      <c r="A29" s="4" t="s">
        <v>38</v>
      </c>
      <c r="B29" s="22" t="n">
        <f aca="false">C11/B28</f>
        <v>2.38729929245801</v>
      </c>
      <c r="C29" s="4" t="s">
        <v>39</v>
      </c>
      <c r="D29" s="4" t="s">
        <v>40</v>
      </c>
    </row>
    <row r="30" customFormat="false" ht="15" hidden="false" customHeight="false" outlineLevel="0" collapsed="false">
      <c r="A30" s="4" t="s">
        <v>41</v>
      </c>
      <c r="B30" s="6" t="n">
        <f aca="false">'Base P5'!B7</f>
        <v>9.08969360159563</v>
      </c>
      <c r="C30" s="4" t="s">
        <v>36</v>
      </c>
      <c r="D30" s="4" t="s">
        <v>42</v>
      </c>
    </row>
    <row r="31" customFormat="false" ht="15" hidden="false" customHeight="false" outlineLevel="0" collapsed="false">
      <c r="A31" s="4" t="s">
        <v>43</v>
      </c>
      <c r="B31" s="22" t="n">
        <f aca="false">86/30.4</f>
        <v>2.82894736842105</v>
      </c>
      <c r="C31" s="4" t="s">
        <v>36</v>
      </c>
      <c r="D31" s="4" t="s">
        <v>44</v>
      </c>
    </row>
    <row r="33" customFormat="false" ht="15" hidden="false" customHeight="false" outlineLevel="0" collapsed="false">
      <c r="A33" s="23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90"/>
  </cols>
  <sheetData>
    <row r="1" customFormat="false" ht="17.35" hidden="false" customHeight="false" outlineLevel="0" collapsed="false">
      <c r="A1" s="1" t="s">
        <v>46</v>
      </c>
    </row>
    <row r="2" customFormat="false" ht="15" hidden="false" customHeight="false" outlineLevel="0" collapsed="false">
      <c r="A2" s="2" t="s">
        <v>47</v>
      </c>
    </row>
    <row r="4" customFormat="false" ht="15" hidden="false" customHeight="false" outlineLevel="0" collapsed="false">
      <c r="A4" s="3" t="s">
        <v>48</v>
      </c>
      <c r="B4" s="3" t="s">
        <v>32</v>
      </c>
      <c r="C4" s="3" t="s">
        <v>49</v>
      </c>
    </row>
    <row r="5" customFormat="false" ht="15" hidden="false" customHeight="false" outlineLevel="0" collapsed="false">
      <c r="A5" s="4" t="s">
        <v>50</v>
      </c>
      <c r="B5" s="24" t="n">
        <v>11.039</v>
      </c>
      <c r="C5" s="4" t="s">
        <v>51</v>
      </c>
    </row>
    <row r="6" customFormat="false" ht="15" hidden="false" customHeight="false" outlineLevel="0" collapsed="false">
      <c r="A6" s="4" t="s">
        <v>52</v>
      </c>
      <c r="B6" s="25" t="n">
        <f aca="false">2.4*B5^1.05</f>
        <v>29.8735931294609</v>
      </c>
      <c r="C6" s="4" t="s">
        <v>53</v>
      </c>
    </row>
    <row r="7" customFormat="false" ht="15" hidden="false" customHeight="false" outlineLevel="0" collapsed="false">
      <c r="A7" s="4" t="s">
        <v>54</v>
      </c>
      <c r="B7" s="25" t="n">
        <f aca="false">2.5*B6^0.38</f>
        <v>9.08969360159563</v>
      </c>
      <c r="C7" s="4" t="s">
        <v>55</v>
      </c>
    </row>
    <row r="8" customFormat="false" ht="15" hidden="false" customHeight="false" outlineLevel="0" collapsed="false">
      <c r="A8" s="4" t="s">
        <v>56</v>
      </c>
      <c r="B8" s="26" t="n">
        <v>249</v>
      </c>
      <c r="C8" s="4" t="s">
        <v>57</v>
      </c>
    </row>
    <row r="9" customFormat="false" ht="15" hidden="false" customHeight="false" outlineLevel="0" collapsed="false">
      <c r="A9" s="4" t="s">
        <v>58</v>
      </c>
      <c r="B9" s="27" t="n">
        <v>7</v>
      </c>
      <c r="C9" s="4" t="s">
        <v>59</v>
      </c>
    </row>
    <row r="10" customFormat="false" ht="15" hidden="false" customHeight="false" outlineLevel="0" collapsed="false">
      <c r="A10" s="4" t="s">
        <v>60</v>
      </c>
      <c r="B10" s="26" t="n">
        <v>160</v>
      </c>
      <c r="C10" s="4" t="s">
        <v>61</v>
      </c>
    </row>
    <row r="11" customFormat="false" ht="15" hidden="false" customHeight="false" outlineLevel="0" collapsed="false">
      <c r="A11" s="4" t="s">
        <v>62</v>
      </c>
      <c r="B11" s="25" t="n">
        <f aca="false">B8*B9/B10</f>
        <v>10.89375</v>
      </c>
      <c r="C11" s="4" t="s">
        <v>63</v>
      </c>
    </row>
    <row r="12" customFormat="false" ht="15" hidden="false" customHeight="false" outlineLevel="0" collapsed="false">
      <c r="A12" s="4" t="s">
        <v>64</v>
      </c>
      <c r="B12" s="13" t="n">
        <v>15000</v>
      </c>
      <c r="C12" s="4" t="s">
        <v>65</v>
      </c>
    </row>
    <row r="13" customFormat="false" ht="15" hidden="false" customHeight="false" outlineLevel="0" collapsed="false">
      <c r="A13" s="4" t="s">
        <v>66</v>
      </c>
      <c r="B13" s="5" t="n">
        <v>0.25</v>
      </c>
      <c r="C13" s="4" t="s">
        <v>61</v>
      </c>
    </row>
    <row r="14" customFormat="false" ht="15" hidden="false" customHeight="false" outlineLevel="0" collapsed="false">
      <c r="A14" s="4" t="s">
        <v>67</v>
      </c>
      <c r="B14" s="14" t="n">
        <f aca="false">B12*(1+B13)</f>
        <v>18750</v>
      </c>
      <c r="C14" s="4" t="s">
        <v>68</v>
      </c>
    </row>
    <row r="15" customFormat="false" ht="15" hidden="false" customHeight="false" outlineLevel="0" collapsed="false">
      <c r="A15" s="4" t="s">
        <v>69</v>
      </c>
      <c r="B15" s="14" t="n">
        <f aca="false">B6*B14</f>
        <v>560129.871177392</v>
      </c>
      <c r="C15" s="4" t="s">
        <v>61</v>
      </c>
    </row>
    <row r="16" customFormat="false" ht="15" hidden="false" customHeight="false" outlineLevel="0" collapsed="false">
      <c r="A16" s="4" t="s">
        <v>70</v>
      </c>
      <c r="B16" s="14" t="n">
        <f aca="false">B11*B14</f>
        <v>204257.8125</v>
      </c>
      <c r="C16" s="4" t="s">
        <v>61</v>
      </c>
    </row>
    <row r="17" customFormat="false" ht="23.85" hidden="false" customHeight="false" outlineLevel="0" collapsed="false">
      <c r="A17" s="4" t="s">
        <v>71</v>
      </c>
      <c r="B17" s="28" t="n">
        <f aca="false">AVERAGE(B6,B11)</f>
        <v>20.3836715647304</v>
      </c>
      <c r="C17" s="4" t="s">
        <v>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6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73</v>
      </c>
    </row>
    <row r="2" customFormat="false" ht="15" hidden="false" customHeight="false" outlineLevel="0" collapsed="false">
      <c r="A2" s="2" t="s">
        <v>74</v>
      </c>
    </row>
    <row r="4" customFormat="false" ht="15" hidden="false" customHeight="false" outlineLevel="0" collapsed="false">
      <c r="A4" s="3" t="s">
        <v>48</v>
      </c>
      <c r="B4" s="3" t="s">
        <v>4</v>
      </c>
      <c r="C4" s="3" t="s">
        <v>75</v>
      </c>
    </row>
    <row r="5" customFormat="false" ht="15" hidden="false" customHeight="false" outlineLevel="0" collapsed="false">
      <c r="A5" s="4" t="s">
        <v>76</v>
      </c>
      <c r="B5" s="29" t="n">
        <f aca="false">'Base P5'!B17</f>
        <v>20.3836715647304</v>
      </c>
      <c r="C5" s="4" t="s">
        <v>77</v>
      </c>
    </row>
    <row r="6" customFormat="false" ht="23.85" hidden="false" customHeight="false" outlineLevel="0" collapsed="false">
      <c r="A6" s="4" t="s">
        <v>78</v>
      </c>
      <c r="B6" s="30" t="n">
        <v>0.7</v>
      </c>
      <c r="C6" s="4" t="s">
        <v>79</v>
      </c>
    </row>
    <row r="7" customFormat="false" ht="15" hidden="false" customHeight="false" outlineLevel="0" collapsed="false">
      <c r="A7" s="8" t="s">
        <v>80</v>
      </c>
      <c r="B7" s="31" t="n">
        <f aca="false">B5*B6</f>
        <v>14.2685700953113</v>
      </c>
      <c r="C7" s="21" t="s">
        <v>81</v>
      </c>
    </row>
    <row r="9" customFormat="false" ht="15" hidden="false" customHeight="false" outlineLevel="0" collapsed="false">
      <c r="A9" s="3" t="s">
        <v>82</v>
      </c>
      <c r="B9" s="3" t="s">
        <v>4</v>
      </c>
      <c r="C9" s="3" t="s">
        <v>83</v>
      </c>
    </row>
    <row r="10" customFormat="false" ht="23.85" hidden="false" customHeight="false" outlineLevel="0" collapsed="false">
      <c r="A10" s="4" t="s">
        <v>84</v>
      </c>
      <c r="B10" s="27" t="n">
        <v>2</v>
      </c>
      <c r="C10" s="4" t="s">
        <v>85</v>
      </c>
    </row>
    <row r="11" customFormat="false" ht="23.85" hidden="false" customHeight="false" outlineLevel="0" collapsed="false">
      <c r="A11" s="4" t="s">
        <v>86</v>
      </c>
      <c r="B11" s="27" t="n">
        <v>1.5</v>
      </c>
      <c r="C11" s="4" t="s">
        <v>87</v>
      </c>
    </row>
    <row r="12" customFormat="false" ht="15" hidden="false" customHeight="false" outlineLevel="0" collapsed="false">
      <c r="A12" s="4" t="s">
        <v>88</v>
      </c>
      <c r="B12" s="27" t="n">
        <v>1</v>
      </c>
      <c r="C12" s="4" t="s">
        <v>89</v>
      </c>
    </row>
    <row r="13" customFormat="false" ht="15" hidden="false" customHeight="false" outlineLevel="0" collapsed="false">
      <c r="A13" s="8" t="s">
        <v>90</v>
      </c>
      <c r="B13" s="10" t="n">
        <f aca="false">SUM(B10:B12)</f>
        <v>4.5</v>
      </c>
      <c r="C13" s="21" t="s">
        <v>91</v>
      </c>
    </row>
    <row r="15" customFormat="false" ht="15" hidden="false" customHeight="false" outlineLevel="0" collapsed="false">
      <c r="A15" s="8" t="s">
        <v>92</v>
      </c>
      <c r="B15" s="31" t="n">
        <f aca="false">B7+B13</f>
        <v>18.7685700953113</v>
      </c>
      <c r="C15" s="21" t="s">
        <v>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0"/>
    <col collapsed="false" customWidth="true" hidden="false" outlineLevel="0" max="3" min="3" style="0" width="14"/>
  </cols>
  <sheetData>
    <row r="1" customFormat="false" ht="17.35" hidden="false" customHeight="false" outlineLevel="0" collapsed="false">
      <c r="A1" s="1" t="s">
        <v>94</v>
      </c>
    </row>
    <row r="2" customFormat="false" ht="15" hidden="false" customHeight="false" outlineLevel="0" collapsed="false">
      <c r="A2" s="2" t="s">
        <v>95</v>
      </c>
    </row>
    <row r="4" customFormat="false" ht="15" hidden="false" customHeight="false" outlineLevel="0" collapsed="false">
      <c r="A4" s="3" t="s">
        <v>96</v>
      </c>
      <c r="B4" s="3" t="s">
        <v>97</v>
      </c>
      <c r="C4" s="3" t="s">
        <v>98</v>
      </c>
    </row>
    <row r="5" customFormat="false" ht="15" hidden="false" customHeight="false" outlineLevel="0" collapsed="false">
      <c r="A5" s="4" t="n">
        <v>1</v>
      </c>
      <c r="B5" s="4" t="s">
        <v>99</v>
      </c>
      <c r="C5" s="32" t="n">
        <v>25</v>
      </c>
    </row>
    <row r="6" customFormat="false" ht="15" hidden="false" customHeight="false" outlineLevel="0" collapsed="false">
      <c r="A6" s="4" t="n">
        <v>2</v>
      </c>
      <c r="B6" s="4" t="s">
        <v>100</v>
      </c>
      <c r="C6" s="32" t="n">
        <v>25</v>
      </c>
    </row>
    <row r="7" customFormat="false" ht="15" hidden="false" customHeight="false" outlineLevel="0" collapsed="false">
      <c r="A7" s="4" t="n">
        <v>3</v>
      </c>
      <c r="B7" s="4" t="s">
        <v>101</v>
      </c>
      <c r="C7" s="32" t="n">
        <v>25</v>
      </c>
    </row>
    <row r="8" customFormat="false" ht="15" hidden="false" customHeight="false" outlineLevel="0" collapsed="false">
      <c r="A8" s="4" t="n">
        <v>4</v>
      </c>
      <c r="B8" s="4" t="s">
        <v>102</v>
      </c>
      <c r="C8" s="32" t="n">
        <v>20</v>
      </c>
    </row>
    <row r="9" customFormat="false" ht="15" hidden="false" customHeight="false" outlineLevel="0" collapsed="false">
      <c r="A9" s="4" t="n">
        <v>5</v>
      </c>
      <c r="B9" s="4" t="s">
        <v>103</v>
      </c>
      <c r="C9" s="32" t="n">
        <v>20</v>
      </c>
    </row>
    <row r="10" customFormat="false" ht="15" hidden="false" customHeight="false" outlineLevel="0" collapsed="false">
      <c r="A10" s="4" t="n">
        <v>6</v>
      </c>
      <c r="B10" s="4" t="s">
        <v>104</v>
      </c>
      <c r="C10" s="32" t="n">
        <v>20</v>
      </c>
    </row>
    <row r="11" customFormat="false" ht="15" hidden="false" customHeight="false" outlineLevel="0" collapsed="false">
      <c r="A11" s="4" t="n">
        <v>7</v>
      </c>
      <c r="B11" s="4" t="s">
        <v>105</v>
      </c>
      <c r="C11" s="32" t="n">
        <v>20</v>
      </c>
    </row>
    <row r="12" customFormat="false" ht="15" hidden="false" customHeight="false" outlineLevel="0" collapsed="false">
      <c r="A12" s="4" t="n">
        <v>8</v>
      </c>
      <c r="B12" s="4" t="s">
        <v>106</v>
      </c>
      <c r="C12" s="32" t="n">
        <v>16</v>
      </c>
    </row>
    <row r="13" customFormat="false" ht="15" hidden="false" customHeight="false" outlineLevel="0" collapsed="false">
      <c r="A13" s="4" t="n">
        <v>9</v>
      </c>
      <c r="B13" s="4" t="s">
        <v>107</v>
      </c>
      <c r="C13" s="32" t="n">
        <v>16</v>
      </c>
    </row>
    <row r="14" customFormat="false" ht="15" hidden="false" customHeight="false" outlineLevel="0" collapsed="false">
      <c r="A14" s="4" t="n">
        <v>10</v>
      </c>
      <c r="B14" s="4" t="s">
        <v>108</v>
      </c>
      <c r="C14" s="32" t="n">
        <v>15</v>
      </c>
    </row>
    <row r="16" customFormat="false" ht="15" hidden="false" customHeight="false" outlineLevel="0" collapsed="false">
      <c r="A16" s="21"/>
      <c r="B16" s="8" t="s">
        <v>109</v>
      </c>
      <c r="C16" s="10" t="n">
        <f aca="false">AVERAGE(C5:C14)</f>
        <v>20.2</v>
      </c>
    </row>
    <row r="17" customFormat="false" ht="15" hidden="false" customHeight="false" outlineLevel="0" collapsed="false">
      <c r="A17" s="4"/>
      <c r="B17" s="4" t="s">
        <v>110</v>
      </c>
      <c r="C17" s="32" t="n">
        <v>25</v>
      </c>
    </row>
    <row r="18" customFormat="false" ht="15" hidden="false" customHeight="false" outlineLevel="0" collapsed="false">
      <c r="A18" s="4"/>
      <c r="B18" s="4" t="s">
        <v>111</v>
      </c>
      <c r="C18" s="33" t="n">
        <v>0.25</v>
      </c>
    </row>
    <row r="19" customFormat="false" ht="15" hidden="false" customHeight="false" outlineLevel="0" collapsed="false">
      <c r="A19" s="21"/>
      <c r="B19" s="8" t="s">
        <v>112</v>
      </c>
      <c r="C19" s="9" t="n">
        <f aca="false">ROUND(C16/C17*C18,2)</f>
        <v>0.2</v>
      </c>
    </row>
    <row r="21" customFormat="false" ht="15" hidden="false" customHeight="false" outlineLevel="0" collapsed="false">
      <c r="B21" s="23" t="s">
        <v>113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2026-09-30T04:48:41Z</dcterms:created>
  <dc:creator>openpyxl</dc:creator>
  <dc:description/>
  <dc:language>en-US</dc:language>
  <cp:lastModifiedBy/>
  <dcterms:modified xsi:type="dcterms:W3CDTF">2026-09-30T04:48:41Z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