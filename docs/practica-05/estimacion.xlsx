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 y COCOM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<sst xmlns="http://schemas.openxmlformats.org/spreadsheetml/2006/main" count="62" uniqueCount="61">
  <si>
    <t xml:space="preserve">Práctica 5 — Estimación inversa de tamaño, esfuerzo y costo</t>
  </si>
  <si>
    <t xml:space="preserve">Sistema de Control Escolar de Servicio Social y Residencia Profesional</t>
  </si>
  <si>
    <t xml:space="preserve">1. Conteo de líneas de código (LOC) — código propio</t>
  </si>
  <si>
    <t xml:space="preserve">Carpeta / archivo</t>
  </si>
  <si>
    <t xml:space="preserve">Código</t>
  </si>
  <si>
    <t xml:space="preserve">Comentarios</t>
  </si>
  <si>
    <t xml:space="preserve">Blancos</t>
  </si>
  <si>
    <t xml:space="preserve">Total líneas</t>
  </si>
  <si>
    <t xml:space="preserve">Controladores</t>
  </si>
  <si>
    <t xml:space="preserve">Modelos (propios, excluye PHPExcel)</t>
  </si>
  <si>
    <t xml:space="preserve">Vistas/modulos</t>
  </si>
  <si>
    <t xml:space="preserve">Vistas/plantilla.php</t>
  </si>
  <si>
    <t xml:space="preserve">index.php</t>
  </si>
  <si>
    <t xml:space="preserve">TOTAL</t>
  </si>
  <si>
    <t xml:space="preserve">Nota: se excluyen librerías de terceros (bower_components/AdminLTE, tcpdf, PHPMailer, PHPExcel, impExcel, class.upload.php, simplexlsx.class.php), identificadas en la Práctica 2. plantilla.php e index.php se contaron con el conteo total de VS Code (no separan comentarios/blancos).</t>
  </si>
  <si>
    <t xml:space="preserve">2. Conversión a KLOC</t>
  </si>
  <si>
    <t xml:space="preserve">Total líneas de código (sin comentarios ni blancos)</t>
  </si>
  <si>
    <t xml:space="preserve">KLOC (miles de líneas de código)</t>
  </si>
  <si>
    <t xml:space="preserve">3. COCOMO básico (modo orgánico)</t>
  </si>
  <si>
    <t xml:space="preserve">Variable</t>
  </si>
  <si>
    <t xml:space="preserve">Fórmula</t>
  </si>
  <si>
    <t xml:space="preserve">Valor</t>
  </si>
  <si>
    <t xml:space="preserve">Unidad</t>
  </si>
  <si>
    <t xml:space="preserve">Esfuerzo (E)</t>
  </si>
  <si>
    <t xml:space="preserve">2.4 × KLOC^1.05</t>
  </si>
  <si>
    <t xml:space="preserve">personas-mes</t>
  </si>
  <si>
    <t xml:space="preserve">Tiempo (T)</t>
  </si>
  <si>
    <t xml:space="preserve">2.5 × E^0.38</t>
  </si>
  <si>
    <t xml:space="preserve">meses</t>
  </si>
  <si>
    <t xml:space="preserve">Personal promedio (P)</t>
  </si>
  <si>
    <t xml:space="preserve">E / T</t>
  </si>
  <si>
    <t xml:space="preserve">personas</t>
  </si>
  <si>
    <t xml:space="preserve">4. Puntos de función (complejidad media)</t>
  </si>
  <si>
    <t xml:space="preserve">Elemento</t>
  </si>
  <si>
    <t xml:space="preserve">Cantidad</t>
  </si>
  <si>
    <t xml:space="preserve">Peso (PF)</t>
  </si>
  <si>
    <t xml:space="preserve">Subtotal</t>
  </si>
  <si>
    <t xml:space="preserve">Entradas externas (EI)</t>
  </si>
  <si>
    <t xml:space="preserve">Salidas externas (EO)</t>
  </si>
  <si>
    <t xml:space="preserve">Consultas externas (EQ)</t>
  </si>
  <si>
    <t xml:space="preserve">Archivos lógicos internos (ILF)</t>
  </si>
  <si>
    <t xml:space="preserve">Archivos de interfaz externos (EIF)</t>
  </si>
  <si>
    <t xml:space="preserve">Total PF sin ajustar</t>
  </si>
  <si>
    <t xml:space="preserve">5. Conversión de PF a esfuerzo</t>
  </si>
  <si>
    <t xml:space="preserve">Productividad (hrs/PF) — equipo PHP estándar</t>
  </si>
  <si>
    <t xml:space="preserve">Fuente</t>
  </si>
  <si>
    <t xml:space="preserve">Capers Jones / SPR / ISBSG — productividad media histórica PHP: 6.5-8 hrs/PF</t>
  </si>
  <si>
    <t xml:space="preserve">Esfuerzo (horas-persona)</t>
  </si>
  <si>
    <t xml:space="preserve">Horas-persona por mes (estándar)</t>
  </si>
  <si>
    <t xml:space="preserve">Esfuerzo (personas-mes) — Puntos de Función</t>
  </si>
  <si>
    <t xml:space="preserve">6. Costo (COCOMO vs. Puntos de Función)</t>
  </si>
  <si>
    <t xml:space="preserve">Salario mensual desarrollador junior (SLP)</t>
  </si>
  <si>
    <t xml:space="preserve">Promedio de plataformas de empleo (Indeed, OCC) para desarrollador junior en San Luis Potosí</t>
  </si>
  <si>
    <t xml:space="preserve">Costos indirectos (%)</t>
  </si>
  <si>
    <t xml:space="preserve">Costo mensual cargado por desarrollador</t>
  </si>
  <si>
    <t xml:space="preserve">Costo por hora</t>
  </si>
  <si>
    <t xml:space="preserve">Método</t>
  </si>
  <si>
    <t xml:space="preserve">Esfuerzo (personas-mes)</t>
  </si>
  <si>
    <t xml:space="preserve">Costo estimado</t>
  </si>
  <si>
    <t xml:space="preserve">COCOMO (LOC)</t>
  </si>
  <si>
    <t xml:space="preserve">Puntos de Función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</si>
</sst>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"/>
    <numFmt numFmtId="167" formatCode="0.00"/>
    <numFmt numFmtId="168" formatCode="\$#,##0"/>
    <numFmt numFmtId="169" formatCode="0%"/>
    <numFmt numFmtId="170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6" t="n">
        <v>1092</v>
      </c>
      <c r="C6" s="6" t="n">
        <v>198</v>
      </c>
      <c r="D6" s="6" t="n">
        <v>443</v>
      </c>
      <c r="E6" s="7" t="n">
        <f aca="false">SUM(B6:D6)</f>
        <v>1733</v>
      </c>
    </row>
    <row r="7" customFormat="false" ht="15" hidden="false" customHeight="true" outlineLevel="0" collapsed="false">
      <c r="A7" s="6" t="s">
        <v>9</v>
      </c>
      <c r="B7" s="6" t="n">
        <v>4220</v>
      </c>
      <c r="C7" s="6" t="n">
        <v>1954</v>
      </c>
      <c r="D7" s="6" t="n">
        <v>813</v>
      </c>
      <c r="E7" s="7" t="n">
        <f aca="false">SUM(B7:D7)</f>
        <v>6987</v>
      </c>
    </row>
    <row r="8" customFormat="false" ht="15" hidden="false" customHeight="true" outlineLevel="0" collapsed="false">
      <c r="A8" s="6" t="s">
        <v>10</v>
      </c>
      <c r="B8" s="6" t="n">
        <v>5471</v>
      </c>
      <c r="C8" s="6" t="n">
        <v>46</v>
      </c>
      <c r="D8" s="6" t="n">
        <v>1643</v>
      </c>
      <c r="E8" s="7" t="n">
        <f aca="false">SUM(B8:D8)</f>
        <v>7160</v>
      </c>
    </row>
    <row r="9" customFormat="false" ht="15" hidden="false" customHeight="true" outlineLevel="0" collapsed="false">
      <c r="A9" s="6" t="s">
        <v>11</v>
      </c>
      <c r="B9" s="6" t="n">
        <v>211</v>
      </c>
      <c r="C9" s="6" t="n">
        <v>0</v>
      </c>
      <c r="D9" s="6" t="n">
        <v>0</v>
      </c>
      <c r="E9" s="7" t="n">
        <f aca="false">SUM(B9:D9)</f>
        <v>211</v>
      </c>
    </row>
    <row r="10" customFormat="false" ht="15" hidden="false" customHeight="true" outlineLevel="0" collapsed="false">
      <c r="A10" s="6" t="s">
        <v>12</v>
      </c>
      <c r="B10" s="6" t="n">
        <v>45</v>
      </c>
      <c r="C10" s="6" t="n">
        <v>0</v>
      </c>
      <c r="D10" s="6" t="n">
        <v>0</v>
      </c>
      <c r="E10" s="7" t="n">
        <f aca="false">SUM(B10:D10)</f>
        <v>45</v>
      </c>
    </row>
    <row r="11" customFormat="false" ht="15" hidden="false" customHeight="true" outlineLevel="0" collapsed="false">
      <c r="A11" s="8" t="s">
        <v>13</v>
      </c>
      <c r="B11" s="8" t="n">
        <f aca="false">SUM(B6:B10)</f>
        <v>11039</v>
      </c>
      <c r="C11" s="8" t="n">
        <f aca="false">SUM(C6:C10)</f>
        <v>2198</v>
      </c>
      <c r="D11" s="8" t="n">
        <f aca="false">SUM(D6:D10)</f>
        <v>2899</v>
      </c>
      <c r="E11" s="8" t="n">
        <f aca="false">SUM(E6:E10)</f>
        <v>16136</v>
      </c>
    </row>
    <row r="12" customFormat="false" ht="30" hidden="false" customHeight="true" outlineLevel="0" collapsed="false">
      <c r="A12" s="9" t="s">
        <v>14</v>
      </c>
      <c r="B12" s="9"/>
      <c r="C12" s="9"/>
      <c r="D12" s="9"/>
      <c r="E12" s="9"/>
    </row>
    <row r="14" customFormat="false" ht="15" hidden="false" customHeight="true" outlineLevel="0" collapsed="false">
      <c r="A14" s="4" t="s">
        <v>15</v>
      </c>
      <c r="B14" s="4"/>
      <c r="C14" s="4"/>
      <c r="D14" s="4"/>
      <c r="E14" s="4"/>
    </row>
    <row r="15" customFormat="false" ht="15" hidden="false" customHeight="true" outlineLevel="0" collapsed="false">
      <c r="A15" s="7" t="s">
        <v>16</v>
      </c>
      <c r="B15" s="7" t="n">
        <f aca="false">SUM(B6:B10)</f>
        <v>11039</v>
      </c>
    </row>
    <row r="16" customFormat="false" ht="15" hidden="false" customHeight="true" outlineLevel="0" collapsed="false">
      <c r="A16" s="8" t="s">
        <v>17</v>
      </c>
      <c r="B16" s="10" t="n">
        <f aca="false">B15/1000</f>
        <v>11.039</v>
      </c>
    </row>
    <row r="18" customFormat="false" ht="15" hidden="false" customHeight="true" outlineLevel="0" collapsed="false">
      <c r="A18" s="4" t="s">
        <v>18</v>
      </c>
      <c r="B18" s="4"/>
      <c r="C18" s="4"/>
      <c r="D18" s="4"/>
      <c r="E18" s="4"/>
    </row>
    <row r="19" customFormat="false" ht="15" hidden="false" customHeight="true" outlineLevel="0" collapsed="false">
      <c r="A19" s="5" t="s">
        <v>19</v>
      </c>
      <c r="B19" s="5" t="s">
        <v>20</v>
      </c>
      <c r="C19" s="5" t="s">
        <v>21</v>
      </c>
      <c r="D19" s="5" t="s">
        <v>22</v>
      </c>
    </row>
    <row r="20" customFormat="false" ht="15" hidden="false" customHeight="true" outlineLevel="0" collapsed="false">
      <c r="A20" s="7" t="s">
        <v>23</v>
      </c>
      <c r="B20" s="7" t="s">
        <v>24</v>
      </c>
      <c r="C20" s="11" t="n">
        <f aca="false">2.4*(B16^1.05)</f>
        <v>29.8735931294609</v>
      </c>
      <c r="D20" s="7" t="s">
        <v>25</v>
      </c>
    </row>
    <row r="21" customFormat="false" ht="15" hidden="false" customHeight="true" outlineLevel="0" collapsed="false">
      <c r="A21" s="7" t="s">
        <v>26</v>
      </c>
      <c r="B21" s="7" t="s">
        <v>27</v>
      </c>
      <c r="C21" s="11" t="n">
        <f aca="false">2.5*(C20^0.38)</f>
        <v>9.08969360159563</v>
      </c>
      <c r="D21" s="7" t="s">
        <v>28</v>
      </c>
    </row>
    <row r="22" customFormat="false" ht="15" hidden="false" customHeight="true" outlineLevel="0" collapsed="false">
      <c r="A22" s="7" t="s">
        <v>29</v>
      </c>
      <c r="B22" s="7" t="s">
        <v>30</v>
      </c>
      <c r="C22" s="11" t="n">
        <f aca="false">C20/C21</f>
        <v>3.2865346664949</v>
      </c>
      <c r="D22" s="7" t="s">
        <v>31</v>
      </c>
    </row>
    <row r="25" customFormat="false" ht="15" hidden="false" customHeight="false" outlineLevel="0" collapsed="false">
      <c r="A25" s="12" t="s">
        <v>32</v>
      </c>
      <c r="B25" s="12"/>
      <c r="C25" s="12"/>
      <c r="D25" s="12"/>
      <c r="E25" s="12"/>
    </row>
    <row r="26" customFormat="false" ht="15" hidden="false" customHeight="false" outlineLevel="0" collapsed="false">
      <c r="A26" s="5" t="s">
        <v>33</v>
      </c>
      <c r="B26" s="5" t="s">
        <v>34</v>
      </c>
      <c r="C26" s="5" t="s">
        <v>35</v>
      </c>
      <c r="D26" s="5" t="s">
        <v>36</v>
      </c>
    </row>
    <row r="27" customFormat="false" ht="15" hidden="false" customHeight="false" outlineLevel="0" collapsed="false">
      <c r="A27" s="13" t="s">
        <v>37</v>
      </c>
      <c r="B27" s="14" t="n">
        <v>6</v>
      </c>
      <c r="C27" s="14" t="n">
        <v>4</v>
      </c>
      <c r="D27" s="13" t="n">
        <f aca="false">B27*C27</f>
        <v>24</v>
      </c>
    </row>
    <row r="28" customFormat="false" ht="15" hidden="false" customHeight="false" outlineLevel="0" collapsed="false">
      <c r="A28" s="13" t="s">
        <v>38</v>
      </c>
      <c r="B28" s="14" t="n">
        <v>7</v>
      </c>
      <c r="C28" s="14" t="n">
        <v>5</v>
      </c>
      <c r="D28" s="13" t="n">
        <f aca="false">B28*C28</f>
        <v>35</v>
      </c>
    </row>
    <row r="29" customFormat="false" ht="15" hidden="false" customHeight="false" outlineLevel="0" collapsed="false">
      <c r="A29" s="13" t="s">
        <v>39</v>
      </c>
      <c r="B29" s="14" t="n">
        <v>5</v>
      </c>
      <c r="C29" s="14" t="n">
        <v>4</v>
      </c>
      <c r="D29" s="13" t="n">
        <f aca="false">B29*C29</f>
        <v>20</v>
      </c>
    </row>
    <row r="30" customFormat="false" ht="15" hidden="false" customHeight="false" outlineLevel="0" collapsed="false">
      <c r="A30" s="13" t="s">
        <v>40</v>
      </c>
      <c r="B30" s="14" t="n">
        <v>17</v>
      </c>
      <c r="C30" s="14" t="n">
        <v>10</v>
      </c>
      <c r="D30" s="13" t="n">
        <f aca="false">B30*C30</f>
        <v>170</v>
      </c>
    </row>
    <row r="31" customFormat="false" ht="15" hidden="false" customHeight="false" outlineLevel="0" collapsed="false">
      <c r="A31" s="13" t="s">
        <v>41</v>
      </c>
      <c r="B31" s="14" t="n">
        <v>0</v>
      </c>
      <c r="C31" s="14" t="n">
        <v>7</v>
      </c>
      <c r="D31" s="13" t="n">
        <f aca="false">B31*C31</f>
        <v>0</v>
      </c>
    </row>
    <row r="32" customFormat="false" ht="15" hidden="false" customHeight="false" outlineLevel="0" collapsed="false">
      <c r="A32" s="15" t="s">
        <v>42</v>
      </c>
      <c r="B32" s="16"/>
      <c r="C32" s="16"/>
      <c r="D32" s="15" t="n">
        <f aca="false">SUM(D27:D31)</f>
        <v>249</v>
      </c>
    </row>
    <row r="34" customFormat="false" ht="15" hidden="false" customHeight="false" outlineLevel="0" collapsed="false">
      <c r="A34" s="12" t="s">
        <v>43</v>
      </c>
      <c r="B34" s="12"/>
      <c r="C34" s="12"/>
      <c r="D34" s="12"/>
      <c r="E34" s="12"/>
    </row>
    <row r="35" customFormat="false" ht="15" hidden="false" customHeight="false" outlineLevel="0" collapsed="false">
      <c r="A35" s="13" t="s">
        <v>44</v>
      </c>
      <c r="B35" s="14" t="n">
        <v>7</v>
      </c>
    </row>
    <row r="36" customFormat="false" ht="15" hidden="false" customHeight="false" outlineLevel="0" collapsed="false">
      <c r="A36" s="17" t="s">
        <v>45</v>
      </c>
      <c r="B36" s="18" t="s">
        <v>46</v>
      </c>
      <c r="C36" s="18"/>
      <c r="D36" s="18"/>
      <c r="E36" s="18"/>
    </row>
    <row r="37" customFormat="false" ht="15" hidden="false" customHeight="false" outlineLevel="0" collapsed="false">
      <c r="A37" s="13" t="s">
        <v>47</v>
      </c>
      <c r="B37" s="13" t="n">
        <f aca="false">D32*B35</f>
        <v>1743</v>
      </c>
    </row>
    <row r="38" customFormat="false" ht="15" hidden="false" customHeight="false" outlineLevel="0" collapsed="false">
      <c r="A38" s="13" t="s">
        <v>48</v>
      </c>
      <c r="B38" s="14" t="n">
        <v>160</v>
      </c>
    </row>
    <row r="39" customFormat="false" ht="15" hidden="false" customHeight="false" outlineLevel="0" collapsed="false">
      <c r="A39" s="15" t="s">
        <v>49</v>
      </c>
      <c r="B39" s="19" t="n">
        <f aca="false">B37/B38</f>
        <v>10.89375</v>
      </c>
    </row>
    <row r="41" customFormat="false" ht="15" hidden="false" customHeight="false" outlineLevel="0" collapsed="false">
      <c r="A41" s="12" t="s">
        <v>50</v>
      </c>
      <c r="B41" s="12"/>
      <c r="C41" s="12"/>
      <c r="D41" s="12"/>
      <c r="E41" s="12"/>
    </row>
    <row r="42" customFormat="false" ht="15" hidden="false" customHeight="false" outlineLevel="0" collapsed="false">
      <c r="A42" s="13" t="s">
        <v>51</v>
      </c>
      <c r="B42" s="20" t="n">
        <v>15000</v>
      </c>
    </row>
    <row r="43" customFormat="false" ht="15" hidden="false" customHeight="false" outlineLevel="0" collapsed="false">
      <c r="A43" s="17" t="s">
        <v>45</v>
      </c>
      <c r="B43" s="18" t="s">
        <v>52</v>
      </c>
      <c r="C43" s="18"/>
      <c r="D43" s="18"/>
      <c r="E43" s="18"/>
    </row>
    <row r="44" customFormat="false" ht="15" hidden="false" customHeight="false" outlineLevel="0" collapsed="false">
      <c r="A44" s="13" t="s">
        <v>53</v>
      </c>
      <c r="B44" s="21" t="n">
        <v>0.25</v>
      </c>
    </row>
    <row r="45" customFormat="false" ht="15" hidden="false" customHeight="false" outlineLevel="0" collapsed="false">
      <c r="A45" s="13" t="s">
        <v>54</v>
      </c>
      <c r="B45" s="22" t="n">
        <f aca="false">B42*(1+B44)</f>
        <v>18750</v>
      </c>
    </row>
    <row r="46" customFormat="false" ht="15" hidden="false" customHeight="false" outlineLevel="0" collapsed="false">
      <c r="A46" s="13" t="s">
        <v>55</v>
      </c>
      <c r="B46" s="22" t="n">
        <f aca="false">B45/B38</f>
        <v>117.1875</v>
      </c>
    </row>
    <row r="48" customFormat="false" ht="15" hidden="false" customHeight="false" outlineLevel="0" collapsed="false">
      <c r="A48" s="5" t="s">
        <v>56</v>
      </c>
      <c r="B48" s="5" t="s">
        <v>57</v>
      </c>
      <c r="C48" s="5" t="s">
        <v>58</v>
      </c>
    </row>
    <row r="49" customFormat="false" ht="15" hidden="false" customHeight="false" outlineLevel="0" collapsed="false">
      <c r="A49" s="13" t="s">
        <v>59</v>
      </c>
      <c r="B49" s="23" t="n">
        <f aca="false">C20</f>
        <v>29.8735931294609</v>
      </c>
      <c r="C49" s="22" t="n">
        <f aca="false">B49*B45</f>
        <v>560129.871177392</v>
      </c>
    </row>
    <row r="50" customFormat="false" ht="15" hidden="false" customHeight="false" outlineLevel="0" collapsed="false">
      <c r="A50" s="13" t="s">
        <v>60</v>
      </c>
      <c r="B50" s="23" t="n">
        <f aca="false">B39</f>
        <v>10.89375</v>
      </c>
      <c r="C50" s="22" t="n">
        <f aca="false">B37*B46</f>
        <v>204257.8125</v>
      </c>
    </row>
  </sheetData>
  <mergeCells count="11">
    <mergeCell ref="A1:E1"/>
    <mergeCell ref="A2:E2"/>
    <mergeCell ref="A4:E4"/>
    <mergeCell ref="A12:E12"/>
    <mergeCell ref="A14:E14"/>
    <mergeCell ref="A18:E18"/>
    <mergeCell ref="A25:E25"/>
    <mergeCell ref="A34:E34"/>
    <mergeCell ref="B36:E36"/>
    <mergeCell ref="A41:E41"/>
    <mergeCell ref="B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2026-09-27T21:30:13Z</dcterms:created>
  <dc:creator>openpyxl</dc:creator>
  <dc:description/>
  <dc:language>en-US</dc:language>
  <cp:lastModifiedBy/>
  <dcterms:modified xsi:type="dcterms:W3CDTF">2026-09-27T22:12:27Z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