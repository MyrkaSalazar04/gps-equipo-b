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rka\Downloads\"/>
    </mc:Choice>
  </mc:AlternateContent>
  <xr:revisionPtr revIDLastSave="0" documentId="13_ncr:1_{B8BF4ECF-FEC2-49CD-AC26-45552FEBE868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Presupuesto" sheetId="1" r:id="rId1"/>
    <sheet name="Base P5" sheetId="2" r:id="rId2"/>
    <sheet name="Esfuerzo" sheetId="3" r:id="rId3"/>
    <sheet name="Contingenci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4" l="1"/>
  <c r="C19" i="4" s="1"/>
  <c r="B22" i="1" s="1"/>
  <c r="B13" i="3"/>
  <c r="B17" i="2"/>
  <c r="B5" i="3" s="1"/>
  <c r="B7" i="3" s="1"/>
  <c r="B15" i="3" s="1"/>
  <c r="B14" i="2"/>
  <c r="B15" i="2" s="1"/>
  <c r="B11" i="2"/>
  <c r="B16" i="2" s="1"/>
  <c r="B6" i="2"/>
  <c r="B7" i="2" s="1"/>
  <c r="B30" i="1" s="1"/>
  <c r="B31" i="1"/>
  <c r="D17" i="1"/>
  <c r="D16" i="1"/>
  <c r="D15" i="1"/>
  <c r="D14" i="1"/>
  <c r="D18" i="1" s="1"/>
  <c r="B11" i="1"/>
  <c r="C7" i="1" l="1"/>
  <c r="D7" i="1" s="1"/>
  <c r="C8" i="1"/>
  <c r="D8" i="1" s="1"/>
  <c r="C10" i="1"/>
  <c r="D10" i="1" s="1"/>
  <c r="C6" i="1"/>
  <c r="D6" i="1" s="1"/>
  <c r="C9" i="1"/>
  <c r="D9" i="1" s="1"/>
  <c r="C5" i="1"/>
  <c r="D5" i="1" l="1"/>
  <c r="D11" i="1" s="1"/>
  <c r="C21" i="1" s="1"/>
  <c r="D21" i="1" s="1"/>
  <c r="C11" i="1"/>
  <c r="B29" i="1" s="1"/>
  <c r="C22" i="1" l="1"/>
  <c r="D22" i="1" s="1"/>
  <c r="C23" i="1" s="1"/>
  <c r="D23" i="1" s="1"/>
  <c r="C24" i="1" l="1"/>
  <c r="D24" i="1" s="1"/>
  <c r="C25" i="1" s="1"/>
  <c r="D25" i="1" s="1"/>
</calcChain>
</file>

<file path=xl/sharedStrings.xml><?xml version="1.0" encoding="utf-8"?>
<sst xmlns="http://schemas.openxmlformats.org/spreadsheetml/2006/main" count="125" uniqueCount="114">
  <si>
    <t>Costo por persona-mes tomado de la Práctica 5. Azul = dato editable; verde = viene de otra hoja.</t>
  </si>
  <si>
    <t>Fase / Milestone</t>
  </si>
  <si>
    <t>% del esfuerzo</t>
  </si>
  <si>
    <t>Personas-mes</t>
  </si>
  <si>
    <t>Costo (MXN)</t>
  </si>
  <si>
    <t>Fase 1. Inicio y análisis</t>
  </si>
  <si>
    <t>Fase 2. Diseño y arquitectura</t>
  </si>
  <si>
    <t>Fase 3. Base de datos y protección de datos</t>
  </si>
  <si>
    <t>Fase 4. Migración de módulos al framework actual</t>
  </si>
  <si>
    <t>Fase 5. Pruebas y aseguramiento de calidad</t>
  </si>
  <si>
    <t>Fase 6. Despliegue, capacitación y cierre</t>
  </si>
  <si>
    <t>Subtotal de personal</t>
  </si>
  <si>
    <t>Otros costos directos</t>
  </si>
  <si>
    <t>Cantidad</t>
  </si>
  <si>
    <t>Costo unitario (MXN)</t>
  </si>
  <si>
    <t>Infraestructura y hosting, pruebas y producción (meses)</t>
  </si>
  <si>
    <t>Licencias y herramientas: dominio, certificado SSL, respaldos (paquete)</t>
  </si>
  <si>
    <t>Capacitación a usuarios y administradores (paquete)</t>
  </si>
  <si>
    <t>Asesoría jurídica: aviso de privacidad y licencia del repositorio (paquete)</t>
  </si>
  <si>
    <t>Subtotal otros costos</t>
  </si>
  <si>
    <t>—</t>
  </si>
  <si>
    <t>Resumen</t>
  </si>
  <si>
    <t>Porcentaje</t>
  </si>
  <si>
    <t>Base de cálculo (MXN)</t>
  </si>
  <si>
    <t>Monto (MXN)</t>
  </si>
  <si>
    <t>Costo directo total (personal + otros)</t>
  </si>
  <si>
    <t>Reserva para contingencias (sobre costo directo)</t>
  </si>
  <si>
    <t>Total antes de IVA</t>
  </si>
  <si>
    <t>IVA</t>
  </si>
  <si>
    <t>PRECIO TOTAL DE LA PROPUESTA</t>
  </si>
  <si>
    <t>Duración</t>
  </si>
  <si>
    <t>Valor</t>
  </si>
  <si>
    <t>Unidad</t>
  </si>
  <si>
    <t>Fuente</t>
  </si>
  <si>
    <t>Integrantes de la consultora</t>
  </si>
  <si>
    <t>personas</t>
  </si>
  <si>
    <t>Práctica 8: consultora de 6 integrantes</t>
  </si>
  <si>
    <t>Duración estimada del proyecto</t>
  </si>
  <si>
    <t>meses</t>
  </si>
  <si>
    <t>Personas-mes ÷ integrantes</t>
  </si>
  <si>
    <t>Tiempo COCOMO de la Práctica 5</t>
  </si>
  <si>
    <t>Práctica 5 (referencia)</t>
  </si>
  <si>
    <t>Duración real del desarrollo original</t>
  </si>
  <si>
    <t>historial.txt: 86 días entre commits</t>
  </si>
  <si>
    <t>Nota: los otros costos directos son SUPUESTOS; no vienen de la Práctica 5.</t>
  </si>
  <si>
    <t>Datos tomados de estimacion.xlsx y estimacion.md. Azul = dato de entrada; negro = fórmula.</t>
  </si>
  <si>
    <t>Concepto</t>
  </si>
  <si>
    <t>Fuente / nota</t>
  </si>
  <si>
    <t>KLOC de código propio</t>
  </si>
  <si>
    <t>Práctica 5, conteo LOC (11,039 líneas)</t>
  </si>
  <si>
    <t>Esfuerzo COCOMO orgánico (personas-mes)</t>
  </si>
  <si>
    <t>E = 2.4 × KLOC^1.05</t>
  </si>
  <si>
    <t>Tiempo COCOMO (meses)</t>
  </si>
  <si>
    <t>T = 2.5 × E^0.38</t>
  </si>
  <si>
    <t>Puntos de función sin ajustar</t>
  </si>
  <si>
    <t>Práctica 5, complejidad media</t>
  </si>
  <si>
    <t>Productividad (horas/PF)</t>
  </si>
  <si>
    <t>Práctica 5 (Capers Jones / SPR / ISBSG, PHP)</t>
  </si>
  <si>
    <t>Horas-persona por mes</t>
  </si>
  <si>
    <t>Práctica 5</t>
  </si>
  <si>
    <t>Esfuerzo Puntos de Función (personas-mes)</t>
  </si>
  <si>
    <t>249 PF × 7 h / 160 h</t>
  </si>
  <si>
    <t>Salario mensual desarrollador junior (MXN)</t>
  </si>
  <si>
    <t>Práctica 5 (Indeed / OCC, San Luis Potosí)</t>
  </si>
  <si>
    <t>Costos indirectos</t>
  </si>
  <si>
    <t>Costo mensual cargado por persona (MXN)</t>
  </si>
  <si>
    <t>Práctica 5: $18,750/mes</t>
  </si>
  <si>
    <t>Costo estimado COCOMO (MXN)</t>
  </si>
  <si>
    <t>Costo estimado Puntos de Función (MXN)</t>
  </si>
  <si>
    <t>Esfuerzo de consenso (personas-mes)</t>
  </si>
  <si>
    <t>SUPUESTO: la Ronda Delphi quedó pendiente (delphi.md); se usa el promedio de ambos métodos. Sustituir por la cifra de consenso cuando la tengas.</t>
  </si>
  <si>
    <t>Del esfuerzo de consenso de la Práctica 5 al esfuerzo del proyecto de reingeniería.</t>
  </si>
  <si>
    <t>Nota</t>
  </si>
  <si>
    <t>Esfuerzo de consenso (Práctica 5)</t>
  </si>
  <si>
    <t>Vinculado a la hoja Base P5</t>
  </si>
  <si>
    <t>Factor de reutilización</t>
  </si>
  <si>
    <t>SUPUESTO: se conserva la lógica de negocio y las 17 tablas; se reescribe la capa técnica</t>
  </si>
  <si>
    <t>Esfuerzo base ajustado</t>
  </si>
  <si>
    <t>Migración a framework actual</t>
  </si>
  <si>
    <t>Trabajo adicional del nuevo alcance</t>
  </si>
  <si>
    <t>Hallazgo que atiende</t>
  </si>
  <si>
    <t>Protección de datos y seguridad (hash de contraseñas, secretos fuera del código, retiro de datos personales del repositorio, aviso de privacidad y derechos ARCO)</t>
  </si>
  <si>
    <t>Top 10 de riesgos: #1, #2, #3, #4 y #8</t>
  </si>
  <si>
    <t>Rediseño de base de datos (llaves foráneas, normalizar solicitudes, unificar referencia a usuario, tipos de dato, script único versionado)</t>
  </si>
  <si>
    <t>evaluacion-modelo.md y Top 10 #7</t>
  </si>
  <si>
    <t>Pruebas automáticas y documentación técnica (README, manual de instalación)</t>
  </si>
  <si>
    <t>Top 10 #5 y #10</t>
  </si>
  <si>
    <t>Subtotal trabajo adicional</t>
  </si>
  <si>
    <t>Suma de los tres conceptos</t>
  </si>
  <si>
    <t>ESFUERZO TOTAL DEL PROYECTO</t>
  </si>
  <si>
    <t>Base ajustada + trabajo adicional</t>
  </si>
  <si>
    <t>La reserva crece con la exposición promedio de los riesgos acordados el 28 de septiembre de 2026.</t>
  </si>
  <si>
    <t>#</t>
  </si>
  <si>
    <t>Riesgo</t>
  </si>
  <si>
    <t>Exposición</t>
  </si>
  <si>
    <t>Documentos personales y respaldos .sql en el repositorio</t>
  </si>
  <si>
    <t>Credenciales y claves en el código</t>
  </si>
  <si>
    <t>Contraseñas en texto plano</t>
  </si>
  <si>
    <t>Sin aviso de privacidad ni protección de datos</t>
  </si>
  <si>
    <t>Un solo desarrollador, sin mantenimiento desde 2021</t>
  </si>
  <si>
    <t>PHP 7.2.34 fuera de soporte</t>
  </si>
  <si>
    <t>Script de BD incompleto y tres versiones de respaldo</t>
  </si>
  <si>
    <t>Conexión a la BD con root sin contraseña</t>
  </si>
  <si>
    <t>Repositorio sin licencia</t>
  </si>
  <si>
    <t>Sin pruebas automáticas</t>
  </si>
  <si>
    <t>Exposición promedio</t>
  </si>
  <si>
    <t>Exposición máxima de la escala (5 × 5)</t>
  </si>
  <si>
    <t>Contingencia máxima (con exposición máxima)</t>
  </si>
  <si>
    <t>% de contingencia aplicado</t>
  </si>
  <si>
    <t>SUPUESTO: el 25% máximo es un criterio propio (el rango habitual de reserva es 10-25%). Ajusta C18 si tu docente pide otro.</t>
  </si>
  <si>
    <t>Presupuesto del Proyecto de Reingeniería (MXN)</t>
  </si>
  <si>
    <t>Base de Estimación (Práctica 5)</t>
  </si>
  <si>
    <t>Esfuerzo Ajustado Al Nuevo Alcance</t>
  </si>
  <si>
    <t>Reserva Para Contingencias Sustentada En El Top 10 (Práctica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</si>
</sst>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;&quot;($&quot;#,##0\);\-"/>
    <numFmt numFmtId="166" formatCode="0.0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9" fontId="7" fillId="3" borderId="1" xfId="0" applyNumberFormat="1" applyFont="1" applyFill="1" applyBorder="1" applyAlignment="1">
      <alignment vertical="top" wrapText="1"/>
    </xf>
    <xf numFmtId="164" fontId="7" fillId="3" borderId="1" xfId="0" applyNumberFormat="1" applyFont="1" applyFill="1" applyBorder="1" applyAlignment="1">
      <alignment vertical="top" wrapText="1"/>
    </xf>
    <xf numFmtId="165" fontId="7" fillId="3" borderId="1" xfId="0" applyNumberFormat="1" applyFont="1" applyFill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9" fontId="6" fillId="0" borderId="1" xfId="0" applyNumberFormat="1" applyFont="1" applyBorder="1" applyAlignment="1">
      <alignment vertical="top" wrapText="1"/>
    </xf>
    <xf numFmtId="9" fontId="4" fillId="3" borderId="1" xfId="0" applyNumberFormat="1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0" borderId="0" xfId="0" applyFont="1"/>
    <xf numFmtId="166" fontId="5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2" fontId="4" fillId="4" borderId="1" xfId="0" applyNumberFormat="1" applyFont="1" applyFill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2" fontId="5" fillId="4" borderId="1" xfId="0" applyNumberFormat="1" applyFont="1" applyFill="1" applyBorder="1" applyAlignment="1">
      <alignment vertical="top" wrapText="1"/>
    </xf>
    <xf numFmtId="2" fontId="7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"/>
  <sheetViews>
    <sheetView zoomScaleNormal="100" workbookViewId="0">
      <selection activeCell="C1" sqref="C1"/>
    </sheetView>
  </sheetViews>
  <sheetFormatPr baseColWidth="10" defaultColWidth="8.6640625" defaultRowHeight="14.4" x14ac:dyDescent="0.3"/>
  <cols>
    <col min="1" max="1" width="68" customWidth="1"/>
    <col min="2" max="2" width="16" customWidth="1"/>
    <col min="3" max="3" width="24" customWidth="1"/>
    <col min="4" max="4" width="38" customWidth="1"/>
  </cols>
  <sheetData>
    <row r="1" spans="1:4" ht="17.399999999999999" x14ac:dyDescent="0.3">
      <c r="A1" s="1" t="s">
        <v>110</v>
      </c>
    </row>
    <row r="2" spans="1:4" x14ac:dyDescent="0.3">
      <c r="A2" s="2" t="s">
        <v>0</v>
      </c>
    </row>
    <row r="4" spans="1:4" x14ac:dyDescent="0.3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3">
      <c r="A5" s="4" t="s">
        <v>5</v>
      </c>
      <c r="B5" s="5">
        <v>0.08</v>
      </c>
      <c r="C5" s="6">
        <f>B5*Esfuerzo!$B$15</f>
        <v>1.5014856076249046</v>
      </c>
      <c r="D5" s="7">
        <f>C5*'Base P5'!$B$14</f>
        <v>28152.855142966961</v>
      </c>
    </row>
    <row r="6" spans="1:4" x14ac:dyDescent="0.3">
      <c r="A6" s="4" t="s">
        <v>6</v>
      </c>
      <c r="B6" s="5">
        <v>0.12</v>
      </c>
      <c r="C6" s="6">
        <f>B6*Esfuerzo!$B$15</f>
        <v>2.2522284114373567</v>
      </c>
      <c r="D6" s="7">
        <f>C6*'Base P5'!$B$14</f>
        <v>42229.282714450441</v>
      </c>
    </row>
    <row r="7" spans="1:4" x14ac:dyDescent="0.3">
      <c r="A7" s="4" t="s">
        <v>7</v>
      </c>
      <c r="B7" s="5">
        <v>0.22</v>
      </c>
      <c r="C7" s="6">
        <f>B7*Esfuerzo!$B$15</f>
        <v>4.1290854209684875</v>
      </c>
      <c r="D7" s="7">
        <f>C7*'Base P5'!$B$14</f>
        <v>77420.351643159142</v>
      </c>
    </row>
    <row r="8" spans="1:4" x14ac:dyDescent="0.3">
      <c r="A8" s="4" t="s">
        <v>8</v>
      </c>
      <c r="B8" s="5">
        <v>0.35</v>
      </c>
      <c r="C8" s="6">
        <f>B8*Esfuerzo!$B$15</f>
        <v>6.5689995333589577</v>
      </c>
      <c r="D8" s="7">
        <f>C8*'Base P5'!$B$14</f>
        <v>123168.74125048045</v>
      </c>
    </row>
    <row r="9" spans="1:4" x14ac:dyDescent="0.3">
      <c r="A9" s="4" t="s">
        <v>9</v>
      </c>
      <c r="B9" s="5">
        <v>0.15</v>
      </c>
      <c r="C9" s="6">
        <f>B9*Esfuerzo!$B$15</f>
        <v>2.8152855142966962</v>
      </c>
      <c r="D9" s="7">
        <f>C9*'Base P5'!$B$14</f>
        <v>52786.603393063051</v>
      </c>
    </row>
    <row r="10" spans="1:4" x14ac:dyDescent="0.3">
      <c r="A10" s="4" t="s">
        <v>10</v>
      </c>
      <c r="B10" s="5">
        <v>0.08</v>
      </c>
      <c r="C10" s="6">
        <f>B10*Esfuerzo!$B$15</f>
        <v>1.5014856076249046</v>
      </c>
      <c r="D10" s="7">
        <f>C10*'Base P5'!$B$14</f>
        <v>28152.855142966961</v>
      </c>
    </row>
    <row r="11" spans="1:4" x14ac:dyDescent="0.3">
      <c r="A11" s="8" t="s">
        <v>11</v>
      </c>
      <c r="B11" s="9">
        <f>SUM(B5:B10)</f>
        <v>1</v>
      </c>
      <c r="C11" s="10">
        <f>SUM(C5:C10)</f>
        <v>18.768570095311308</v>
      </c>
      <c r="D11" s="11">
        <f>SUM(D5:D10)</f>
        <v>351910.68928708701</v>
      </c>
    </row>
    <row r="13" spans="1:4" x14ac:dyDescent="0.3">
      <c r="A13" s="3" t="s">
        <v>12</v>
      </c>
      <c r="B13" s="3" t="s">
        <v>13</v>
      </c>
      <c r="C13" s="3" t="s">
        <v>14</v>
      </c>
      <c r="D13" s="3" t="s">
        <v>4</v>
      </c>
    </row>
    <row r="14" spans="1:4" x14ac:dyDescent="0.3">
      <c r="A14" s="4" t="s">
        <v>15</v>
      </c>
      <c r="B14" s="12">
        <v>6</v>
      </c>
      <c r="C14" s="13">
        <v>4000</v>
      </c>
      <c r="D14" s="14">
        <f>B14*C14</f>
        <v>24000</v>
      </c>
    </row>
    <row r="15" spans="1:4" x14ac:dyDescent="0.3">
      <c r="A15" s="4" t="s">
        <v>16</v>
      </c>
      <c r="B15" s="12">
        <v>1</v>
      </c>
      <c r="C15" s="13">
        <v>8000</v>
      </c>
      <c r="D15" s="14">
        <f>B15*C15</f>
        <v>8000</v>
      </c>
    </row>
    <row r="16" spans="1:4" x14ac:dyDescent="0.3">
      <c r="A16" s="4" t="s">
        <v>17</v>
      </c>
      <c r="B16" s="12">
        <v>1</v>
      </c>
      <c r="C16" s="13">
        <v>15000</v>
      </c>
      <c r="D16" s="14">
        <f>B16*C16</f>
        <v>15000</v>
      </c>
    </row>
    <row r="17" spans="1:4" x14ac:dyDescent="0.3">
      <c r="A17" s="4" t="s">
        <v>18</v>
      </c>
      <c r="B17" s="12">
        <v>1</v>
      </c>
      <c r="C17" s="13">
        <v>15000</v>
      </c>
      <c r="D17" s="14">
        <f>B17*C17</f>
        <v>15000</v>
      </c>
    </row>
    <row r="18" spans="1:4" x14ac:dyDescent="0.3">
      <c r="A18" s="8" t="s">
        <v>19</v>
      </c>
      <c r="B18" s="8" t="s">
        <v>20</v>
      </c>
      <c r="C18" s="8" t="s">
        <v>20</v>
      </c>
      <c r="D18" s="11">
        <f>SUM(D14:D17)</f>
        <v>62000</v>
      </c>
    </row>
    <row r="20" spans="1:4" x14ac:dyDescent="0.3">
      <c r="A20" s="3" t="s">
        <v>21</v>
      </c>
      <c r="B20" s="3" t="s">
        <v>22</v>
      </c>
      <c r="C20" s="3" t="s">
        <v>23</v>
      </c>
      <c r="D20" s="3" t="s">
        <v>24</v>
      </c>
    </row>
    <row r="21" spans="1:4" x14ac:dyDescent="0.3">
      <c r="A21" s="15" t="s">
        <v>25</v>
      </c>
      <c r="B21" s="16">
        <v>1</v>
      </c>
      <c r="C21" s="14">
        <f>D11+D18</f>
        <v>413910.68928708701</v>
      </c>
      <c r="D21" s="17">
        <f>B21*C21</f>
        <v>413910.68928708701</v>
      </c>
    </row>
    <row r="22" spans="1:4" x14ac:dyDescent="0.3">
      <c r="A22" s="4" t="s">
        <v>26</v>
      </c>
      <c r="B22" s="18">
        <f>Contingencia!C19</f>
        <v>0.2</v>
      </c>
      <c r="C22" s="14">
        <f>D21</f>
        <v>413910.68928708701</v>
      </c>
      <c r="D22" s="14">
        <f>B22*C22</f>
        <v>82782.137857417401</v>
      </c>
    </row>
    <row r="23" spans="1:4" x14ac:dyDescent="0.3">
      <c r="A23" s="8" t="s">
        <v>27</v>
      </c>
      <c r="B23" s="19">
        <v>1</v>
      </c>
      <c r="C23" s="20">
        <f>D21+D22</f>
        <v>496692.82714450441</v>
      </c>
      <c r="D23" s="11">
        <f>B23*C23</f>
        <v>496692.82714450441</v>
      </c>
    </row>
    <row r="24" spans="1:4" x14ac:dyDescent="0.3">
      <c r="A24" s="4" t="s">
        <v>28</v>
      </c>
      <c r="B24" s="5">
        <v>0.16</v>
      </c>
      <c r="C24" s="14">
        <f>D23</f>
        <v>496692.82714450441</v>
      </c>
      <c r="D24" s="14">
        <f>B24*C24</f>
        <v>79470.852343120714</v>
      </c>
    </row>
    <row r="25" spans="1:4" x14ac:dyDescent="0.3">
      <c r="A25" s="8" t="s">
        <v>29</v>
      </c>
      <c r="B25" s="19">
        <v>1</v>
      </c>
      <c r="C25" s="20">
        <f>D23+D24</f>
        <v>576163.67948762514</v>
      </c>
      <c r="D25" s="11">
        <f>B25*C25</f>
        <v>576163.67948762514</v>
      </c>
    </row>
    <row r="27" spans="1:4" x14ac:dyDescent="0.3">
      <c r="A27" s="3" t="s">
        <v>30</v>
      </c>
      <c r="B27" s="3" t="s">
        <v>31</v>
      </c>
      <c r="C27" s="3" t="s">
        <v>32</v>
      </c>
      <c r="D27" s="3" t="s">
        <v>33</v>
      </c>
    </row>
    <row r="28" spans="1:4" x14ac:dyDescent="0.3">
      <c r="A28" s="4" t="s">
        <v>34</v>
      </c>
      <c r="B28" s="12">
        <v>6</v>
      </c>
      <c r="C28" s="4" t="s">
        <v>35</v>
      </c>
      <c r="D28" s="4" t="s">
        <v>36</v>
      </c>
    </row>
    <row r="29" spans="1:4" x14ac:dyDescent="0.3">
      <c r="A29" s="8" t="s">
        <v>37</v>
      </c>
      <c r="B29" s="10">
        <f>C11/B28</f>
        <v>3.1280950158852181</v>
      </c>
      <c r="C29" s="21" t="s">
        <v>38</v>
      </c>
      <c r="D29" s="21" t="s">
        <v>39</v>
      </c>
    </row>
    <row r="30" spans="1:4" x14ac:dyDescent="0.3">
      <c r="A30" s="4" t="s">
        <v>40</v>
      </c>
      <c r="B30" s="6">
        <f>'Base P5'!B7</f>
        <v>9.0896936015956271</v>
      </c>
      <c r="C30" s="4" t="s">
        <v>38</v>
      </c>
      <c r="D30" s="4" t="s">
        <v>41</v>
      </c>
    </row>
    <row r="31" spans="1:4" x14ac:dyDescent="0.3">
      <c r="A31" s="4" t="s">
        <v>42</v>
      </c>
      <c r="B31" s="22">
        <f>86/30.4</f>
        <v>2.8289473684210527</v>
      </c>
      <c r="C31" s="4" t="s">
        <v>38</v>
      </c>
      <c r="D31" s="4" t="s">
        <v>43</v>
      </c>
    </row>
    <row r="33" spans="1:1" x14ac:dyDescent="0.3">
      <c r="A33" s="23" t="s">
        <v>44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zoomScaleNormal="100" workbookViewId="0">
      <selection activeCell="A32" sqref="A32"/>
    </sheetView>
  </sheetViews>
  <sheetFormatPr baseColWidth="10" defaultColWidth="8.6640625" defaultRowHeight="14.4" x14ac:dyDescent="0.3"/>
  <cols>
    <col min="1" max="1" width="46" customWidth="1"/>
    <col min="2" max="2" width="16" customWidth="1"/>
    <col min="3" max="3" width="90" customWidth="1"/>
  </cols>
  <sheetData>
    <row r="1" spans="1:3" ht="17.399999999999999" x14ac:dyDescent="0.3">
      <c r="A1" s="1" t="s">
        <v>111</v>
      </c>
    </row>
    <row r="2" spans="1:3" x14ac:dyDescent="0.3">
      <c r="A2" s="2" t="s">
        <v>45</v>
      </c>
    </row>
    <row r="4" spans="1:3" x14ac:dyDescent="0.3">
      <c r="A4" s="3" t="s">
        <v>46</v>
      </c>
      <c r="B4" s="3" t="s">
        <v>31</v>
      </c>
      <c r="C4" s="3" t="s">
        <v>47</v>
      </c>
    </row>
    <row r="5" spans="1:3" x14ac:dyDescent="0.3">
      <c r="A5" s="4" t="s">
        <v>48</v>
      </c>
      <c r="B5" s="24">
        <v>11.039</v>
      </c>
      <c r="C5" s="4" t="s">
        <v>49</v>
      </c>
    </row>
    <row r="6" spans="1:3" x14ac:dyDescent="0.3">
      <c r="A6" s="4" t="s">
        <v>50</v>
      </c>
      <c r="B6" s="25">
        <f>2.4*B5^1.05</f>
        <v>29.873593129460879</v>
      </c>
      <c r="C6" s="4" t="s">
        <v>51</v>
      </c>
    </row>
    <row r="7" spans="1:3" x14ac:dyDescent="0.3">
      <c r="A7" s="4" t="s">
        <v>52</v>
      </c>
      <c r="B7" s="25">
        <f>2.5*B6^0.38</f>
        <v>9.0896936015956271</v>
      </c>
      <c r="C7" s="4" t="s">
        <v>53</v>
      </c>
    </row>
    <row r="8" spans="1:3" x14ac:dyDescent="0.3">
      <c r="A8" s="4" t="s">
        <v>54</v>
      </c>
      <c r="B8" s="26">
        <v>249</v>
      </c>
      <c r="C8" s="4" t="s">
        <v>55</v>
      </c>
    </row>
    <row r="9" spans="1:3" x14ac:dyDescent="0.3">
      <c r="A9" s="4" t="s">
        <v>56</v>
      </c>
      <c r="B9" s="27">
        <v>7</v>
      </c>
      <c r="C9" s="4" t="s">
        <v>57</v>
      </c>
    </row>
    <row r="10" spans="1:3" x14ac:dyDescent="0.3">
      <c r="A10" s="4" t="s">
        <v>58</v>
      </c>
      <c r="B10" s="26">
        <v>160</v>
      </c>
      <c r="C10" s="4" t="s">
        <v>59</v>
      </c>
    </row>
    <row r="11" spans="1:3" x14ac:dyDescent="0.3">
      <c r="A11" s="4" t="s">
        <v>60</v>
      </c>
      <c r="B11" s="25">
        <f>B8*B9/B10</f>
        <v>10.893750000000001</v>
      </c>
      <c r="C11" s="4" t="s">
        <v>61</v>
      </c>
    </row>
    <row r="12" spans="1:3" x14ac:dyDescent="0.3">
      <c r="A12" s="4" t="s">
        <v>62</v>
      </c>
      <c r="B12" s="13">
        <v>15000</v>
      </c>
      <c r="C12" s="4" t="s">
        <v>63</v>
      </c>
    </row>
    <row r="13" spans="1:3" x14ac:dyDescent="0.3">
      <c r="A13" s="4" t="s">
        <v>64</v>
      </c>
      <c r="B13" s="5">
        <v>0.25</v>
      </c>
      <c r="C13" s="4" t="s">
        <v>59</v>
      </c>
    </row>
    <row r="14" spans="1:3" x14ac:dyDescent="0.3">
      <c r="A14" s="4" t="s">
        <v>65</v>
      </c>
      <c r="B14" s="14">
        <f>B12*(1+B13)</f>
        <v>18750</v>
      </c>
      <c r="C14" s="4" t="s">
        <v>66</v>
      </c>
    </row>
    <row r="15" spans="1:3" x14ac:dyDescent="0.3">
      <c r="A15" s="4" t="s">
        <v>67</v>
      </c>
      <c r="B15" s="14">
        <f>B6*B14</f>
        <v>560129.8711773915</v>
      </c>
      <c r="C15" s="4" t="s">
        <v>59</v>
      </c>
    </row>
    <row r="16" spans="1:3" x14ac:dyDescent="0.3">
      <c r="A16" s="4" t="s">
        <v>68</v>
      </c>
      <c r="B16" s="14">
        <f>B11*B14</f>
        <v>204257.8125</v>
      </c>
      <c r="C16" s="4" t="s">
        <v>59</v>
      </c>
    </row>
    <row r="17" spans="1:3" ht="26.4" x14ac:dyDescent="0.3">
      <c r="A17" s="4" t="s">
        <v>69</v>
      </c>
      <c r="B17" s="28">
        <f>AVERAGE(B6,B11)</f>
        <v>20.383671564730442</v>
      </c>
      <c r="C17" s="4" t="s">
        <v>70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5"/>
  <sheetViews>
    <sheetView zoomScaleNormal="100" workbookViewId="0"/>
  </sheetViews>
  <sheetFormatPr baseColWidth="10" defaultColWidth="8.6640625" defaultRowHeight="14.4" x14ac:dyDescent="0.3"/>
  <cols>
    <col min="1" max="1" width="80" customWidth="1"/>
    <col min="2" max="2" width="16" customWidth="1"/>
    <col min="3" max="3" width="70" customWidth="1"/>
  </cols>
  <sheetData>
    <row r="1" spans="1:3" ht="17.399999999999999" x14ac:dyDescent="0.3">
      <c r="A1" s="1" t="s">
        <v>112</v>
      </c>
    </row>
    <row r="2" spans="1:3" x14ac:dyDescent="0.3">
      <c r="A2" s="2" t="s">
        <v>71</v>
      </c>
    </row>
    <row r="4" spans="1:3" x14ac:dyDescent="0.3">
      <c r="A4" s="3" t="s">
        <v>46</v>
      </c>
      <c r="B4" s="3" t="s">
        <v>3</v>
      </c>
      <c r="C4" s="3" t="s">
        <v>72</v>
      </c>
    </row>
    <row r="5" spans="1:3" x14ac:dyDescent="0.3">
      <c r="A5" s="4" t="s">
        <v>73</v>
      </c>
      <c r="B5" s="29">
        <f>'Base P5'!B17</f>
        <v>20.383671564730442</v>
      </c>
      <c r="C5" s="4" t="s">
        <v>74</v>
      </c>
    </row>
    <row r="6" spans="1:3" ht="26.4" x14ac:dyDescent="0.3">
      <c r="A6" s="4" t="s">
        <v>75</v>
      </c>
      <c r="B6" s="30">
        <v>0.7</v>
      </c>
      <c r="C6" s="4" t="s">
        <v>76</v>
      </c>
    </row>
    <row r="7" spans="1:3" x14ac:dyDescent="0.3">
      <c r="A7" s="8" t="s">
        <v>77</v>
      </c>
      <c r="B7" s="31">
        <f>B5*B6</f>
        <v>14.268570095311308</v>
      </c>
      <c r="C7" s="21" t="s">
        <v>78</v>
      </c>
    </row>
    <row r="9" spans="1:3" x14ac:dyDescent="0.3">
      <c r="A9" s="3" t="s">
        <v>79</v>
      </c>
      <c r="B9" s="3" t="s">
        <v>3</v>
      </c>
      <c r="C9" s="3" t="s">
        <v>80</v>
      </c>
    </row>
    <row r="10" spans="1:3" ht="26.4" x14ac:dyDescent="0.3">
      <c r="A10" s="4" t="s">
        <v>81</v>
      </c>
      <c r="B10" s="27">
        <v>2</v>
      </c>
      <c r="C10" s="4" t="s">
        <v>82</v>
      </c>
    </row>
    <row r="11" spans="1:3" ht="26.4" x14ac:dyDescent="0.3">
      <c r="A11" s="4" t="s">
        <v>83</v>
      </c>
      <c r="B11" s="27">
        <v>1.5</v>
      </c>
      <c r="C11" s="4" t="s">
        <v>84</v>
      </c>
    </row>
    <row r="12" spans="1:3" x14ac:dyDescent="0.3">
      <c r="A12" s="4" t="s">
        <v>85</v>
      </c>
      <c r="B12" s="27">
        <v>1</v>
      </c>
      <c r="C12" s="4" t="s">
        <v>86</v>
      </c>
    </row>
    <row r="13" spans="1:3" x14ac:dyDescent="0.3">
      <c r="A13" s="8" t="s">
        <v>87</v>
      </c>
      <c r="B13" s="10">
        <f>SUM(B10:B12)</f>
        <v>4.5</v>
      </c>
      <c r="C13" s="21" t="s">
        <v>88</v>
      </c>
    </row>
    <row r="15" spans="1:3" x14ac:dyDescent="0.3">
      <c r="A15" s="8" t="s">
        <v>89</v>
      </c>
      <c r="B15" s="31">
        <f>B7+B13</f>
        <v>18.768570095311308</v>
      </c>
      <c r="C15" s="21" t="s">
        <v>90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1"/>
  <sheetViews>
    <sheetView tabSelected="1" zoomScaleNormal="100" workbookViewId="0">
      <selection activeCell="F1" sqref="F1"/>
    </sheetView>
  </sheetViews>
  <sheetFormatPr baseColWidth="10" defaultColWidth="8.6640625" defaultRowHeight="14.4" x14ac:dyDescent="0.3"/>
  <cols>
    <col min="1" max="1" width="5" customWidth="1"/>
    <col min="2" max="2" width="60" customWidth="1"/>
    <col min="3" max="3" width="14" customWidth="1"/>
  </cols>
  <sheetData>
    <row r="1" spans="1:4" ht="17.399999999999999" x14ac:dyDescent="0.3">
      <c r="A1" s="34" t="s">
        <v>113</v>
      </c>
      <c r="B1" s="34"/>
      <c r="C1" s="34"/>
      <c r="D1" s="34"/>
    </row>
    <row r="2" spans="1:4" x14ac:dyDescent="0.3">
      <c r="A2" s="2" t="s">
        <v>91</v>
      </c>
    </row>
    <row r="4" spans="1:4" x14ac:dyDescent="0.3">
      <c r="A4" s="3" t="s">
        <v>92</v>
      </c>
      <c r="B4" s="3" t="s">
        <v>93</v>
      </c>
      <c r="C4" s="3" t="s">
        <v>94</v>
      </c>
    </row>
    <row r="5" spans="1:4" x14ac:dyDescent="0.3">
      <c r="A5" s="4">
        <v>1</v>
      </c>
      <c r="B5" s="4" t="s">
        <v>95</v>
      </c>
      <c r="C5" s="32">
        <v>25</v>
      </c>
    </row>
    <row r="6" spans="1:4" x14ac:dyDescent="0.3">
      <c r="A6" s="4">
        <v>2</v>
      </c>
      <c r="B6" s="4" t="s">
        <v>96</v>
      </c>
      <c r="C6" s="32">
        <v>25</v>
      </c>
    </row>
    <row r="7" spans="1:4" x14ac:dyDescent="0.3">
      <c r="A7" s="4">
        <v>3</v>
      </c>
      <c r="B7" s="4" t="s">
        <v>97</v>
      </c>
      <c r="C7" s="32">
        <v>25</v>
      </c>
    </row>
    <row r="8" spans="1:4" x14ac:dyDescent="0.3">
      <c r="A8" s="4">
        <v>4</v>
      </c>
      <c r="B8" s="4" t="s">
        <v>98</v>
      </c>
      <c r="C8" s="32">
        <v>20</v>
      </c>
    </row>
    <row r="9" spans="1:4" x14ac:dyDescent="0.3">
      <c r="A9" s="4">
        <v>5</v>
      </c>
      <c r="B9" s="4" t="s">
        <v>99</v>
      </c>
      <c r="C9" s="32">
        <v>20</v>
      </c>
    </row>
    <row r="10" spans="1:4" x14ac:dyDescent="0.3">
      <c r="A10" s="4">
        <v>6</v>
      </c>
      <c r="B10" s="4" t="s">
        <v>100</v>
      </c>
      <c r="C10" s="32">
        <v>20</v>
      </c>
    </row>
    <row r="11" spans="1:4" x14ac:dyDescent="0.3">
      <c r="A11" s="4">
        <v>7</v>
      </c>
      <c r="B11" s="4" t="s">
        <v>101</v>
      </c>
      <c r="C11" s="32">
        <v>20</v>
      </c>
    </row>
    <row r="12" spans="1:4" x14ac:dyDescent="0.3">
      <c r="A12" s="4">
        <v>8</v>
      </c>
      <c r="B12" s="4" t="s">
        <v>102</v>
      </c>
      <c r="C12" s="32">
        <v>16</v>
      </c>
    </row>
    <row r="13" spans="1:4" x14ac:dyDescent="0.3">
      <c r="A13" s="4">
        <v>9</v>
      </c>
      <c r="B13" s="4" t="s">
        <v>103</v>
      </c>
      <c r="C13" s="32">
        <v>16</v>
      </c>
    </row>
    <row r="14" spans="1:4" x14ac:dyDescent="0.3">
      <c r="A14" s="4">
        <v>10</v>
      </c>
      <c r="B14" s="4" t="s">
        <v>104</v>
      </c>
      <c r="C14" s="32">
        <v>15</v>
      </c>
    </row>
    <row r="16" spans="1:4" x14ac:dyDescent="0.3">
      <c r="A16" s="21"/>
      <c r="B16" s="8" t="s">
        <v>105</v>
      </c>
      <c r="C16" s="10">
        <f>AVERAGE(C5:C14)</f>
        <v>20.2</v>
      </c>
    </row>
    <row r="17" spans="1:3" x14ac:dyDescent="0.3">
      <c r="A17" s="4"/>
      <c r="B17" s="4" t="s">
        <v>106</v>
      </c>
      <c r="C17" s="32">
        <v>25</v>
      </c>
    </row>
    <row r="18" spans="1:3" x14ac:dyDescent="0.3">
      <c r="A18" s="4"/>
      <c r="B18" s="4" t="s">
        <v>107</v>
      </c>
      <c r="C18" s="33">
        <v>0.25</v>
      </c>
    </row>
    <row r="19" spans="1:3" x14ac:dyDescent="0.3">
      <c r="A19" s="21"/>
      <c r="B19" s="8" t="s">
        <v>108</v>
      </c>
      <c r="C19" s="9">
        <f>ROUND(C16/C17*C18,2)</f>
        <v>0.2</v>
      </c>
    </row>
    <row r="21" spans="1:3" x14ac:dyDescent="0.3">
      <c r="B21" s="23" t="s">
        <v>109</v>
      </c>
    </row>
  </sheetData>
  <mergeCells count="1">
    <mergeCell ref="A1:D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Base P5</vt:lpstr>
      <vt:lpstr>Esfuerzo</vt:lpstr>
      <vt:lpstr>Contingencia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MYRKA NEFTALI SALAZAR MORALES</cp:lastModifiedBy>
  <cp:revision>0</cp:revision>
  <dcterms:created xsi:type="dcterms:W3CDTF">2026-09-30T01:32:28Z</dcterms:created>
  <dcterms:modified xsi:type="dcterms:W3CDTF">2026-09-30T01:38:13Z</dcterms:modified>
  <dc:language>en-US</dc:language>
</cp:coreProperties>
</file>