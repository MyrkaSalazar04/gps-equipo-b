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rka\Downloads\"/>
    </mc:Choice>
  </mc:AlternateContent>
  <xr:revisionPtr revIDLastSave="0" documentId="13_ncr:1_{190C4F3B-9500-4BD1-94EF-567BA71AFEF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atriz de riesgos" sheetId="1" r:id="rId1"/>
    <sheet name="Escalas y resumen" sheetId="2" r:id="rId2"/>
  </sheets>
  <definedNames>
    <definedName name="_xlnm._FilterDatabase" localSheetId="0" hidden="1">'Matriz de riesgos'!$A$4:$K$20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2" l="1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B22" i="2"/>
  <c r="B21" i="2"/>
  <c r="C20" i="2"/>
  <c r="B20" i="2"/>
  <c r="C19" i="2"/>
  <c r="B19" i="2"/>
  <c r="G20" i="1"/>
  <c r="H20" i="1" s="1"/>
  <c r="H19" i="1"/>
  <c r="G19" i="1"/>
  <c r="G18" i="1"/>
  <c r="C22" i="2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C21" i="2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C14" i="2" l="1"/>
  <c r="C13" i="2"/>
  <c r="C12" i="2"/>
  <c r="H11" i="1"/>
  <c r="C15" i="2" s="1"/>
  <c r="H18" i="1"/>
</calcChain>
</file>

<file path=xl/sharedStrings.xml><?xml version="1.0" encoding="utf-8"?>
<sst xmlns="http://schemas.openxmlformats.org/spreadsheetml/2006/main" count="162" uniqueCount="131">
  <si>
    <t>Los hallazgos citan archivo y línea; no se copia ningún valor de contraseñas o credenciales. Exposición = Probabilidad × Impacto.</t>
  </si>
  <si>
    <t>ID</t>
  </si>
  <si>
    <t>Descripción</t>
  </si>
  <si>
    <t>Categoría</t>
  </si>
  <si>
    <t>Evidencia (archivo / ubicación)</t>
  </si>
  <si>
    <t>Probabilidad (1-5)</t>
  </si>
  <si>
    <t>Impacto (1-5)</t>
  </si>
  <si>
    <t>Exposición (P×I)</t>
  </si>
  <si>
    <t>Nivel</t>
  </si>
  <si>
    <t>Justificación</t>
  </si>
  <si>
    <t>Estrategia</t>
  </si>
  <si>
    <t>Acción concreta</t>
  </si>
  <si>
    <t>R01</t>
  </si>
  <si>
    <t>Credenciales de la BD remota (Clever Cloud) en texto plano dentro del código.</t>
  </si>
  <si>
    <t>Seguridad</t>
  </si>
  <si>
    <t>Modelos/ConexionBD.php, líneas 7-12 (host y conexión PDO).</t>
  </si>
  <si>
    <t>Repositorio público: cualquiera ve el host y el usuario. Si el servidor sigue activo, hay acceso a datos de alumnos.</t>
  </si>
  <si>
    <t>Mitigar</t>
  </si>
  <si>
    <t>Confirmar con el responsable si el servidor sigue activo (sin conectarse), dar de baja o rotar las credenciales y moverlas a variables de entorno fuera del repositorio.</t>
  </si>
  <si>
    <t>R02</t>
  </si>
  <si>
    <t>Contraseñas de usuarios almacenadas y comparadas en texto plano.</t>
  </si>
  <si>
    <t>Contraseñas en texto plano en la BD y en los .sql públicos; un solo acceso expone todas las cuentas.</t>
  </si>
  <si>
    <t>Migrar a password_hash() / password_verify(), cifrar las contraseñas existentes y forzar el restablecimiento de contraseña a todos los usuarios.</t>
  </si>
  <si>
    <t>R03</t>
  </si>
  <si>
    <t>Contraseña de la cuenta de correo en texto plano.</t>
  </si>
  <si>
    <t>Controladores/EnviarCorreo.php, línea 24.</t>
  </si>
  <si>
    <t>Cuenta de correo institucional expuesta; permite suplantar o enviar correos falsos, pero no da acceso a la BD.</t>
  </si>
  <si>
    <t>Cambiar la contraseña de la cuenta de correo, usar una contraseña de aplicación y guardarla fuera del código.</t>
  </si>
  <si>
    <t>R04</t>
  </si>
  <si>
    <t>Clave secreta y vector de inicialización fijos en el código.</t>
  </si>
  <si>
    <t>config/server.php, líneas 21 (SECRET_KEY) y 24 (SECRET_IV).</t>
  </si>
  <si>
    <t>Clave y vector fijos y públicos; quien los vea puede descifrar lo que el sistema cifre.</t>
  </si>
  <si>
    <t>Generar nuevas claves, sacarlas del código y volver a cifrar la información que dependa de las anteriores.</t>
  </si>
  <si>
    <t>R05</t>
  </si>
  <si>
    <t>Conexión a la BD con usuario root y sin contraseña, repetida en varios archivos.</t>
  </si>
  <si>
    <t>config/server.php:8-10; Modelos/importExcel.php:33-34; ImportarExcel/insertarCatalogo.php:10-11; ImportarExcel/insertarUsuarios.php:10-11.</t>
  </si>
  <si>
    <t>root sin contraseña en 4 archivos; si se despliega tal cual, cualquiera con acceso al servidor controla la BD.</t>
  </si>
  <si>
    <t>Evitar</t>
  </si>
  <si>
    <t>Crear un usuario de BD con privilegios mínimos y contraseña, y centralizar la conexión en un solo archivo en lugar de 4.</t>
  </si>
  <si>
    <t>R06</t>
  </si>
  <si>
    <t>Documentos personales de alumnos y bases de datos con registros publicados en un repositorio público.</t>
  </si>
  <si>
    <t>Carpetas Kardex/ (5 PDF), IMSS/ (5 PDF), Servicio/ (4 PDF), Documentos/ (9+ PDF) y 3 archivos .sql con INSERT INTO.</t>
  </si>
  <si>
    <t>Ya está ocurriendo: PDF de kardex, IMSS y cartas, más 3 .sql con datos, están publicados. Es el riesgo más grave.</t>
  </si>
  <si>
    <t>Retirar del repositorio los PDF y los .sql con datos reales, purgar el historial (git filter-repo) y trabajar con datos ficticios.</t>
  </si>
  <si>
    <t>R07</t>
  </si>
  <si>
    <t>Incumplimiento de la Ley Federal de Protección de Datos Personales: se manejan datos personales sin aviso de privacidad ni medidas de protección.</t>
  </si>
  <si>
    <t>Legal</t>
  </si>
  <si>
    <t>Columnas numIMSS, fechanac, direccion, telefono, correo en tablas usuarios y datosestudiante (archivos .sql).</t>
  </si>
  <si>
    <t>Se manejan datos personales (numIMSS, fechanac, direccion) sin aviso de privacidad ni medidas de seguridad; riesgo de sanciones.</t>
  </si>
  <si>
    <t>Redactar el aviso de privacidad, designar a un responsable de datos, minimizar los datos recabados y aplicar cifrado y control de acceso.</t>
  </si>
  <si>
    <t>R08</t>
  </si>
  <si>
    <t>Repositorio sin licencia declarada: no queda claro si se puede usar, modificar o distribuir.</t>
  </si>
  <si>
    <t>No existe LICENSE en la raíz del proyecto ni en la página de GitHub (solo licencias de librerías de terceros).</t>
  </si>
  <si>
    <t>Sin licencia no hay derecho claro a usar, modificar o distribuir; el problema es seguro pero se resuelve contactando al autor.</t>
  </si>
  <si>
    <t>No adoptar el código hasta obtener una licencia o autorización escrita del autor. Si no la otorga, reescribir el sistema.</t>
  </si>
  <si>
    <t>R09</t>
  </si>
  <si>
    <t>PHP 7.2.34 sin soporte oficial desde el 30-nov-2020.</t>
  </si>
  <si>
    <t>Técnico</t>
  </si>
  <si>
    <t>Encabezado de los 3 archivos .sql (PHP 7.2.34, phpMyAdmin 5.0.3, MariaDB 10.4.14).</t>
  </si>
  <si>
    <t>PHP 7.2 sin parches desde 2020; casi seguro hay vulnerabilidades sin corregir en todo el sistema.</t>
  </si>
  <si>
    <t>Migrar a una versión de PHP con soporte (8.2 o superior), correr un análisis de compatibilidad y aislar el servidor mientras tanto.</t>
  </si>
  <si>
    <t>R10</t>
  </si>
  <si>
    <t>PHPExcel 1.8.0 (2014) abandonada y duplicada en dos carpetas.</t>
  </si>
  <si>
    <t>impExcel/Classes/PHPExcel.php y Modelos/PHPExcel/Classes/PHPExcel.php.</t>
  </si>
  <si>
    <t>Librería abandonada y duplicada; afecta importar y exportar Excel, no todo el sistema.</t>
  </si>
  <si>
    <t>Sustituir PHPExcel por PhpSpreadsheet y eliminar la copia duplicada.</t>
  </si>
  <si>
    <t>R11</t>
  </si>
  <si>
    <t>Frontend con jQuery 1.9.1, Bootstrap 3.3.7 y AdminLTE 2.4.0 fuera de soporte.</t>
  </si>
  <si>
    <t>ImportarExcel/jquery.js; Vistas/bower_components/bootstrap/; Vistas/dist/js/adminlte.js (~6,800 archivos en bower_components).</t>
  </si>
  <si>
    <t>Frontend fuera de soporte con XSS conocidos; actualizarlo es costoso por el tamaño de bower_components.</t>
  </si>
  <si>
    <t>Aceptar</t>
  </si>
  <si>
    <t>Aceptar temporalmente: mantener el frontend actual solo en red interna hasta la reingeniería; en esa fase migrar a jQuery 3.x y Bootstrap 5.</t>
  </si>
  <si>
    <t>R12</t>
  </si>
  <si>
    <t>Librerías desactualizadas con posibles vulnerabilidades (SheetJS 0.15.4, TCPDF 6.2.6, PHPMailer 6.3.0).</t>
  </si>
  <si>
    <t>ImportarExcel/xlsx.js; tcpdf/; PHPMailer/.</t>
  </si>
  <si>
    <t>Versiones viejas con vulnerabilidades posibles; la exposición depende de cómo se usen.</t>
  </si>
  <si>
    <t>Actualizar PHPMailer y TCPDF (o migrar a tc-lib-pdf) y reemplazar SheetJS, administrando todo con Composer.</t>
  </si>
  <si>
    <t>R13</t>
  </si>
  <si>
    <t>Sin pruebas automáticas: cualquier cambio puede romper funciones sin detectarse.</t>
  </si>
  <si>
    <t>No existe tests/, phpunit.xml ni archivos *Test.php propios del proyecto.</t>
  </si>
  <si>
    <t>Sin pruebas, cualquier modificación puede romper funciones sin avisar; impacta directo en la reingeniería.</t>
  </si>
  <si>
    <t>Crear pruebas de los flujos críticos (login, alta de solicitud, generación de documentos) con PHPUnit antes de modificar código.</t>
  </si>
  <si>
    <t>R14</t>
  </si>
  <si>
    <t>Sin README técnico ni manual de instalación: despliegue difícil y dependiente del conocimiento de quien lo desarrolló.</t>
  </si>
  <si>
    <t>Proyecto</t>
  </si>
  <si>
    <t>No existe README.md/README.txt en la raíz; Documentacion/ solo contiene formatos operativos.</t>
  </si>
  <si>
    <t>Sin README ni manual la instalación es lenta y propensa a errores; molesto pero se corrige fácil.</t>
  </si>
  <si>
    <t>Escribir README técnico y manual de instalación (requisitos, importación de BD, configuración).</t>
  </si>
  <si>
    <t>R15</t>
  </si>
  <si>
    <t>Dependencia de un solo desarrollador y sistema sin mantenimiento desde jun-2021.</t>
  </si>
  <si>
    <t>Práctica 6 (actividad.xlsx, comparacion.md): 10 commits, 2 nombres de Git (cbarreral y Carlos Alberto Barrera Lugo), último commit 21-jun-2021.</t>
  </si>
  <si>
    <t>Un solo desarrollador y sin actividad desde jun-2021; si esa persona no está disponible, nadie conoce el sistema.</t>
  </si>
  <si>
    <t>Documentar el sistema con el análisis de estas prácticas, formar un equipo de mantenimiento propio y transferir el conocimiento.</t>
  </si>
  <si>
    <t>R16</t>
  </si>
  <si>
    <t>Gestión de la configuración deficiente: sin .gitignore ni CI, 3 versiones de la BD en la raíz, credenciales repetidas y commits sin convención.</t>
  </si>
  <si>
    <t>Sin .gitignore ni .github/; sistemacontrolescolar.sql, sistemacontrolescolar 2.sql, sistemacontrolescolar 11-06-2021.sql; mensajes como "2".</t>
  </si>
  <si>
    <t>Sin .gitignore ni CI, tres versiones de la BD y credenciales repetidas facilitan nuevas fugas y errores.</t>
  </si>
  <si>
    <t>Agregar .gitignore, dejar una sola versión de la BD (con migraciones), definir convención de commits y configurar CI básico.</t>
  </si>
  <si>
    <t>Nota: los valores de Probabilidad e Impacto (azul) son editables; Exposición y Nivel se recalculan solos.</t>
  </si>
  <si>
    <t>Escalas de valoración</t>
  </si>
  <si>
    <t>Valor</t>
  </si>
  <si>
    <t>Probabilidad</t>
  </si>
  <si>
    <t>Impacto</t>
  </si>
  <si>
    <t>Muy improbable</t>
  </si>
  <si>
    <t>Insignificante</t>
  </si>
  <si>
    <t>Poco probable</t>
  </si>
  <si>
    <t>Menor: molestia, se corrige fácil</t>
  </si>
  <si>
    <t>Posible</t>
  </si>
  <si>
    <t>Moderado: afecta una función o requiere retrabajo</t>
  </si>
  <si>
    <t>Probable</t>
  </si>
  <si>
    <t>Grave: afecta datos o el servicio, con costo alto</t>
  </si>
  <si>
    <t>Casi seguro</t>
  </si>
  <si>
    <t>Crítico: fuga de datos, sanciones o sistema inservible</t>
  </si>
  <si>
    <t>Niveles de exposición</t>
  </si>
  <si>
    <t>Rango de exposición</t>
  </si>
  <si>
    <t>Riesgos (cantidad)</t>
  </si>
  <si>
    <t>Crítico</t>
  </si>
  <si>
    <t>20 a 25</t>
  </si>
  <si>
    <t>Alto</t>
  </si>
  <si>
    <t>15 a 19</t>
  </si>
  <si>
    <t>Medio</t>
  </si>
  <si>
    <t>8 a 14</t>
  </si>
  <si>
    <t>Bajo</t>
  </si>
  <si>
    <t>1 a 7</t>
  </si>
  <si>
    <t>Riesgos por categoría</t>
  </si>
  <si>
    <t>Cantidad</t>
  </si>
  <si>
    <t>Exposición promedio</t>
  </si>
  <si>
    <t>Conteo de riesgos por celda (base del mapa de calor)</t>
  </si>
  <si>
    <t>Impacto ↓ / Probabilidad →</t>
  </si>
  <si>
    <t>Columna clave en los 3 archivos .sql; el login compara directamente la clave recibida con la almacenada en Controladores/usuariosC.php, método IniciarSesionC(), línea 91. También almacena la clave en $_SESSION["clave"] (usuariosC.php, línea 99).</t>
  </si>
  <si>
    <t>Práctica 7. Matriz de Riesgos: Sistema de Control Escolar de Servicio Social y Residencia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</si>
</sst>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i/>
      <sz val="9"/>
      <color rgb="FFC00000"/>
      <name val="Arial"/>
      <charset val="1"/>
    </font>
    <font>
      <b/>
      <sz val="12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3" fillId="2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164" fontId="10" fillId="0" borderId="1" xfId="0" applyNumberFormat="1" applyFont="1" applyBorder="1"/>
    <xf numFmtId="0" fontId="3" fillId="2" borderId="0" xfId="0" applyFont="1" applyFill="1"/>
    <xf numFmtId="0" fontId="10" fillId="0" borderId="1" xfId="0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4">
    <dxf>
      <fill>
        <patternFill>
          <bgColor rgb="FFB7E1A1"/>
        </patternFill>
      </fill>
    </dxf>
    <dxf>
      <fill>
        <patternFill>
          <bgColor rgb="FFFFEB84"/>
        </patternFill>
      </fill>
    </dxf>
    <dxf>
      <fill>
        <patternFill>
          <bgColor rgb="FFFFB366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A1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B3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" sqref="F1"/>
    </sheetView>
  </sheetViews>
  <sheetFormatPr baseColWidth="10" defaultColWidth="8.6640625" defaultRowHeight="14.4" x14ac:dyDescent="0.3"/>
  <cols>
    <col min="1" max="1" width="6" customWidth="1"/>
    <col min="2" max="2" width="42" customWidth="1"/>
    <col min="3" max="3" width="12" customWidth="1"/>
    <col min="4" max="4" width="44" customWidth="1"/>
    <col min="5" max="5" width="12" customWidth="1"/>
    <col min="6" max="6" width="10" customWidth="1"/>
    <col min="7" max="7" width="11" customWidth="1"/>
    <col min="8" max="8" width="10" customWidth="1"/>
    <col min="9" max="9" width="44" customWidth="1"/>
    <col min="10" max="10" width="11" customWidth="1"/>
    <col min="11" max="11" width="50" customWidth="1"/>
  </cols>
  <sheetData>
    <row r="1" spans="1:11" ht="16.8" x14ac:dyDescent="0.3">
      <c r="A1" s="1" t="s">
        <v>130</v>
      </c>
    </row>
    <row r="2" spans="1:11" x14ac:dyDescent="0.3">
      <c r="A2" s="2" t="s">
        <v>0</v>
      </c>
    </row>
    <row r="4" spans="1:11" ht="26.4" x14ac:dyDescent="0.3">
      <c r="A4" s="3" t="s">
        <v>1</v>
      </c>
      <c r="B4" s="3" t="s">
        <v>2</v>
      </c>
      <c r="C4" s="3" t="s">
        <v>3</v>
      </c>
      <c r="D4" s="16" t="s">
        <v>4</v>
      </c>
      <c r="E4" s="3" t="s">
        <v>5</v>
      </c>
      <c r="F4" s="3" t="s">
        <v>6</v>
      </c>
      <c r="G4" s="3" t="s">
        <v>7</v>
      </c>
      <c r="H4" s="16" t="s">
        <v>8</v>
      </c>
      <c r="I4" s="16" t="s">
        <v>9</v>
      </c>
      <c r="J4" s="16" t="s">
        <v>10</v>
      </c>
      <c r="K4" s="3" t="s">
        <v>11</v>
      </c>
    </row>
    <row r="5" spans="1:11" ht="34.200000000000003" x14ac:dyDescent="0.3">
      <c r="A5" s="4" t="s">
        <v>12</v>
      </c>
      <c r="B5" s="5" t="s">
        <v>13</v>
      </c>
      <c r="C5" s="6" t="s">
        <v>14</v>
      </c>
      <c r="D5" s="5" t="s">
        <v>15</v>
      </c>
      <c r="E5" s="7">
        <v>4</v>
      </c>
      <c r="F5" s="7">
        <v>5</v>
      </c>
      <c r="G5" s="6">
        <f t="shared" ref="G5:G20" si="0">E5*F5</f>
        <v>20</v>
      </c>
      <c r="H5" s="6" t="str">
        <f t="shared" ref="H5:H20" si="1">IF(G5&gt;=20,"Crítico",IF(G5&gt;=15,"Alto",IF(G5&gt;=8,"Medio","Bajo")))</f>
        <v>Crítico</v>
      </c>
      <c r="I5" s="5" t="s">
        <v>16</v>
      </c>
      <c r="J5" s="6" t="s">
        <v>17</v>
      </c>
      <c r="K5" s="5" t="s">
        <v>18</v>
      </c>
    </row>
    <row r="6" spans="1:11" ht="57" x14ac:dyDescent="0.3">
      <c r="A6" s="4" t="s">
        <v>19</v>
      </c>
      <c r="B6" s="5" t="s">
        <v>20</v>
      </c>
      <c r="C6" s="6" t="s">
        <v>14</v>
      </c>
      <c r="D6" s="5" t="s">
        <v>129</v>
      </c>
      <c r="E6" s="7">
        <v>4</v>
      </c>
      <c r="F6" s="7">
        <v>5</v>
      </c>
      <c r="G6" s="6">
        <f t="shared" si="0"/>
        <v>20</v>
      </c>
      <c r="H6" s="6" t="str">
        <f t="shared" si="1"/>
        <v>Crítico</v>
      </c>
      <c r="I6" s="5" t="s">
        <v>21</v>
      </c>
      <c r="J6" s="6" t="s">
        <v>17</v>
      </c>
      <c r="K6" s="5" t="s">
        <v>22</v>
      </c>
    </row>
    <row r="7" spans="1:11" ht="22.8" x14ac:dyDescent="0.3">
      <c r="A7" s="4" t="s">
        <v>23</v>
      </c>
      <c r="B7" s="5" t="s">
        <v>24</v>
      </c>
      <c r="C7" s="6" t="s">
        <v>14</v>
      </c>
      <c r="D7" s="5" t="s">
        <v>25</v>
      </c>
      <c r="E7" s="7">
        <v>4</v>
      </c>
      <c r="F7" s="7">
        <v>3</v>
      </c>
      <c r="G7" s="6">
        <f t="shared" si="0"/>
        <v>12</v>
      </c>
      <c r="H7" s="6" t="str">
        <f t="shared" si="1"/>
        <v>Medio</v>
      </c>
      <c r="I7" s="5" t="s">
        <v>26</v>
      </c>
      <c r="J7" s="6" t="s">
        <v>17</v>
      </c>
      <c r="K7" s="5" t="s">
        <v>27</v>
      </c>
    </row>
    <row r="8" spans="1:11" ht="22.8" x14ac:dyDescent="0.3">
      <c r="A8" s="4" t="s">
        <v>28</v>
      </c>
      <c r="B8" s="5" t="s">
        <v>29</v>
      </c>
      <c r="C8" s="6" t="s">
        <v>14</v>
      </c>
      <c r="D8" s="5" t="s">
        <v>30</v>
      </c>
      <c r="E8" s="7">
        <v>4</v>
      </c>
      <c r="F8" s="7">
        <v>3</v>
      </c>
      <c r="G8" s="6">
        <f t="shared" si="0"/>
        <v>12</v>
      </c>
      <c r="H8" s="6" t="str">
        <f t="shared" si="1"/>
        <v>Medio</v>
      </c>
      <c r="I8" s="5" t="s">
        <v>31</v>
      </c>
      <c r="J8" s="6" t="s">
        <v>17</v>
      </c>
      <c r="K8" s="5" t="s">
        <v>32</v>
      </c>
    </row>
    <row r="9" spans="1:11" ht="34.200000000000003" x14ac:dyDescent="0.3">
      <c r="A9" s="4" t="s">
        <v>33</v>
      </c>
      <c r="B9" s="5" t="s">
        <v>34</v>
      </c>
      <c r="C9" s="6" t="s">
        <v>14</v>
      </c>
      <c r="D9" s="5" t="s">
        <v>35</v>
      </c>
      <c r="E9" s="7">
        <v>4</v>
      </c>
      <c r="F9" s="7">
        <v>4</v>
      </c>
      <c r="G9" s="6">
        <f t="shared" si="0"/>
        <v>16</v>
      </c>
      <c r="H9" s="6" t="str">
        <f t="shared" si="1"/>
        <v>Alto</v>
      </c>
      <c r="I9" s="5" t="s">
        <v>36</v>
      </c>
      <c r="J9" s="6" t="s">
        <v>37</v>
      </c>
      <c r="K9" s="5" t="s">
        <v>38</v>
      </c>
    </row>
    <row r="10" spans="1:11" ht="34.200000000000003" x14ac:dyDescent="0.3">
      <c r="A10" s="4" t="s">
        <v>39</v>
      </c>
      <c r="B10" s="5" t="s">
        <v>40</v>
      </c>
      <c r="C10" s="6" t="s">
        <v>14</v>
      </c>
      <c r="D10" s="5" t="s">
        <v>41</v>
      </c>
      <c r="E10" s="7">
        <v>5</v>
      </c>
      <c r="F10" s="7">
        <v>5</v>
      </c>
      <c r="G10" s="6">
        <f t="shared" si="0"/>
        <v>25</v>
      </c>
      <c r="H10" s="6" t="str">
        <f t="shared" si="1"/>
        <v>Crítico</v>
      </c>
      <c r="I10" s="5" t="s">
        <v>42</v>
      </c>
      <c r="J10" s="6" t="s">
        <v>37</v>
      </c>
      <c r="K10" s="5" t="s">
        <v>43</v>
      </c>
    </row>
    <row r="11" spans="1:11" ht="34.200000000000003" x14ac:dyDescent="0.3">
      <c r="A11" s="4" t="s">
        <v>44</v>
      </c>
      <c r="B11" s="5" t="s">
        <v>45</v>
      </c>
      <c r="C11" s="6" t="s">
        <v>46</v>
      </c>
      <c r="D11" s="5" t="s">
        <v>47</v>
      </c>
      <c r="E11" s="7">
        <v>4</v>
      </c>
      <c r="F11" s="7">
        <v>5</v>
      </c>
      <c r="G11" s="6">
        <f t="shared" si="0"/>
        <v>20</v>
      </c>
      <c r="H11" s="6" t="str">
        <f t="shared" si="1"/>
        <v>Crítico</v>
      </c>
      <c r="I11" s="5" t="s">
        <v>48</v>
      </c>
      <c r="J11" s="6" t="s">
        <v>17</v>
      </c>
      <c r="K11" s="5" t="s">
        <v>49</v>
      </c>
    </row>
    <row r="12" spans="1:11" ht="34.200000000000003" x14ac:dyDescent="0.3">
      <c r="A12" s="4" t="s">
        <v>50</v>
      </c>
      <c r="B12" s="5" t="s">
        <v>51</v>
      </c>
      <c r="C12" s="6" t="s">
        <v>46</v>
      </c>
      <c r="D12" s="5" t="s">
        <v>52</v>
      </c>
      <c r="E12" s="7">
        <v>5</v>
      </c>
      <c r="F12" s="7">
        <v>3</v>
      </c>
      <c r="G12" s="6">
        <f t="shared" si="0"/>
        <v>15</v>
      </c>
      <c r="H12" s="6" t="str">
        <f t="shared" si="1"/>
        <v>Alto</v>
      </c>
      <c r="I12" s="5" t="s">
        <v>53</v>
      </c>
      <c r="J12" s="6" t="s">
        <v>37</v>
      </c>
      <c r="K12" s="5" t="s">
        <v>54</v>
      </c>
    </row>
    <row r="13" spans="1:11" ht="22.8" x14ac:dyDescent="0.3">
      <c r="A13" s="4" t="s">
        <v>55</v>
      </c>
      <c r="B13" s="5" t="s">
        <v>56</v>
      </c>
      <c r="C13" s="6" t="s">
        <v>57</v>
      </c>
      <c r="D13" s="5" t="s">
        <v>58</v>
      </c>
      <c r="E13" s="7">
        <v>5</v>
      </c>
      <c r="F13" s="7">
        <v>4</v>
      </c>
      <c r="G13" s="6">
        <f t="shared" si="0"/>
        <v>20</v>
      </c>
      <c r="H13" s="6" t="str">
        <f t="shared" si="1"/>
        <v>Crítico</v>
      </c>
      <c r="I13" s="5" t="s">
        <v>59</v>
      </c>
      <c r="J13" s="6" t="s">
        <v>17</v>
      </c>
      <c r="K13" s="5" t="s">
        <v>60</v>
      </c>
    </row>
    <row r="14" spans="1:11" ht="22.8" x14ac:dyDescent="0.3">
      <c r="A14" s="4" t="s">
        <v>61</v>
      </c>
      <c r="B14" s="5" t="s">
        <v>62</v>
      </c>
      <c r="C14" s="6" t="s">
        <v>57</v>
      </c>
      <c r="D14" s="5" t="s">
        <v>63</v>
      </c>
      <c r="E14" s="7">
        <v>4</v>
      </c>
      <c r="F14" s="7">
        <v>3</v>
      </c>
      <c r="G14" s="6">
        <f t="shared" si="0"/>
        <v>12</v>
      </c>
      <c r="H14" s="6" t="str">
        <f t="shared" si="1"/>
        <v>Medio</v>
      </c>
      <c r="I14" s="5" t="s">
        <v>64</v>
      </c>
      <c r="J14" s="6" t="s">
        <v>37</v>
      </c>
      <c r="K14" s="5" t="s">
        <v>65</v>
      </c>
    </row>
    <row r="15" spans="1:11" ht="45.6" x14ac:dyDescent="0.3">
      <c r="A15" s="4" t="s">
        <v>66</v>
      </c>
      <c r="B15" s="5" t="s">
        <v>67</v>
      </c>
      <c r="C15" s="6" t="s">
        <v>57</v>
      </c>
      <c r="D15" s="5" t="s">
        <v>68</v>
      </c>
      <c r="E15" s="7">
        <v>4</v>
      </c>
      <c r="F15" s="7">
        <v>3</v>
      </c>
      <c r="G15" s="6">
        <f t="shared" si="0"/>
        <v>12</v>
      </c>
      <c r="H15" s="6" t="str">
        <f t="shared" si="1"/>
        <v>Medio</v>
      </c>
      <c r="I15" s="5" t="s">
        <v>69</v>
      </c>
      <c r="J15" s="6" t="s">
        <v>70</v>
      </c>
      <c r="K15" s="5" t="s">
        <v>71</v>
      </c>
    </row>
    <row r="16" spans="1:11" ht="22.8" x14ac:dyDescent="0.3">
      <c r="A16" s="4" t="s">
        <v>72</v>
      </c>
      <c r="B16" s="5" t="s">
        <v>73</v>
      </c>
      <c r="C16" s="6" t="s">
        <v>57</v>
      </c>
      <c r="D16" s="5" t="s">
        <v>74</v>
      </c>
      <c r="E16" s="7">
        <v>3</v>
      </c>
      <c r="F16" s="7">
        <v>3</v>
      </c>
      <c r="G16" s="6">
        <f t="shared" si="0"/>
        <v>9</v>
      </c>
      <c r="H16" s="6" t="str">
        <f t="shared" si="1"/>
        <v>Medio</v>
      </c>
      <c r="I16" s="5" t="s">
        <v>75</v>
      </c>
      <c r="J16" s="6" t="s">
        <v>17</v>
      </c>
      <c r="K16" s="5" t="s">
        <v>76</v>
      </c>
    </row>
    <row r="17" spans="1:11" ht="34.200000000000003" x14ac:dyDescent="0.3">
      <c r="A17" s="4" t="s">
        <v>77</v>
      </c>
      <c r="B17" s="5" t="s">
        <v>78</v>
      </c>
      <c r="C17" s="6" t="s">
        <v>57</v>
      </c>
      <c r="D17" s="5" t="s">
        <v>79</v>
      </c>
      <c r="E17" s="7">
        <v>5</v>
      </c>
      <c r="F17" s="7">
        <v>3</v>
      </c>
      <c r="G17" s="6">
        <f t="shared" si="0"/>
        <v>15</v>
      </c>
      <c r="H17" s="6" t="str">
        <f t="shared" si="1"/>
        <v>Alto</v>
      </c>
      <c r="I17" s="5" t="s">
        <v>80</v>
      </c>
      <c r="J17" s="6" t="s">
        <v>17</v>
      </c>
      <c r="K17" s="5" t="s">
        <v>81</v>
      </c>
    </row>
    <row r="18" spans="1:11" ht="34.200000000000003" x14ac:dyDescent="0.3">
      <c r="A18" s="4" t="s">
        <v>82</v>
      </c>
      <c r="B18" s="5" t="s">
        <v>83</v>
      </c>
      <c r="C18" s="6" t="s">
        <v>84</v>
      </c>
      <c r="D18" s="5" t="s">
        <v>85</v>
      </c>
      <c r="E18" s="7">
        <v>5</v>
      </c>
      <c r="F18" s="7">
        <v>2</v>
      </c>
      <c r="G18" s="6">
        <f t="shared" si="0"/>
        <v>10</v>
      </c>
      <c r="H18" s="6" t="str">
        <f t="shared" si="1"/>
        <v>Medio</v>
      </c>
      <c r="I18" s="5" t="s">
        <v>86</v>
      </c>
      <c r="J18" s="6" t="s">
        <v>17</v>
      </c>
      <c r="K18" s="5" t="s">
        <v>87</v>
      </c>
    </row>
    <row r="19" spans="1:11" ht="34.200000000000003" x14ac:dyDescent="0.3">
      <c r="A19" s="4" t="s">
        <v>88</v>
      </c>
      <c r="B19" s="5" t="s">
        <v>89</v>
      </c>
      <c r="C19" s="6" t="s">
        <v>84</v>
      </c>
      <c r="D19" s="5" t="s">
        <v>90</v>
      </c>
      <c r="E19" s="7">
        <v>5</v>
      </c>
      <c r="F19" s="7">
        <v>4</v>
      </c>
      <c r="G19" s="6">
        <f t="shared" si="0"/>
        <v>20</v>
      </c>
      <c r="H19" s="6" t="str">
        <f t="shared" si="1"/>
        <v>Crítico</v>
      </c>
      <c r="I19" s="5" t="s">
        <v>91</v>
      </c>
      <c r="J19" s="6" t="s">
        <v>17</v>
      </c>
      <c r="K19" s="5" t="s">
        <v>92</v>
      </c>
    </row>
    <row r="20" spans="1:11" ht="34.200000000000003" x14ac:dyDescent="0.3">
      <c r="A20" s="4" t="s">
        <v>93</v>
      </c>
      <c r="B20" s="5" t="s">
        <v>94</v>
      </c>
      <c r="C20" s="6" t="s">
        <v>84</v>
      </c>
      <c r="D20" s="5" t="s">
        <v>95</v>
      </c>
      <c r="E20" s="7">
        <v>4</v>
      </c>
      <c r="F20" s="7">
        <v>3</v>
      </c>
      <c r="G20" s="6">
        <f t="shared" si="0"/>
        <v>12</v>
      </c>
      <c r="H20" s="6" t="str">
        <f t="shared" si="1"/>
        <v>Medio</v>
      </c>
      <c r="I20" s="5" t="s">
        <v>96</v>
      </c>
      <c r="J20" s="6" t="s">
        <v>17</v>
      </c>
      <c r="K20" s="5" t="s">
        <v>97</v>
      </c>
    </row>
    <row r="22" spans="1:11" x14ac:dyDescent="0.3">
      <c r="A22" s="2" t="s">
        <v>98</v>
      </c>
    </row>
    <row r="23" spans="1:11" x14ac:dyDescent="0.3">
      <c r="A23" s="8"/>
    </row>
  </sheetData>
  <autoFilter ref="A4:K20" xr:uid="{00000000-0009-0000-0000-000000000000}"/>
  <conditionalFormatting sqref="H5:H20">
    <cfRule type="cellIs" dxfId="3" priority="2" operator="equal">
      <formula>"Crítico"</formula>
    </cfRule>
    <cfRule type="cellIs" dxfId="2" priority="3" operator="equal">
      <formula>"Alto"</formula>
    </cfRule>
    <cfRule type="cellIs" dxfId="1" priority="4" operator="equal">
      <formula>"Medio"</formula>
    </cfRule>
    <cfRule type="cellIs" dxfId="0" priority="5" operator="equal">
      <formula>"Bajo"</formula>
    </cfRule>
  </conditionalFormatting>
  <dataValidations count="2">
    <dataValidation type="whole" sqref="E5:F20" xr:uid="{00000000-0002-0000-0000-000000000000}">
      <formula1>1</formula1>
      <formula2>5</formula2>
    </dataValidation>
    <dataValidation type="list" sqref="J5:J20" xr:uid="{00000000-0002-0000-0000-000001000000}">
      <formula1>"Evitar,Mitigar,Transferir,Aceptar"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/>
  </sheetViews>
  <sheetFormatPr baseColWidth="10" defaultColWidth="8.6640625" defaultRowHeight="14.4" x14ac:dyDescent="0.3"/>
  <cols>
    <col min="1" max="1" width="28" customWidth="1"/>
    <col min="2" max="6" width="26" customWidth="1"/>
  </cols>
  <sheetData>
    <row r="1" spans="1:3" ht="15.6" x14ac:dyDescent="0.3">
      <c r="A1" s="9" t="s">
        <v>99</v>
      </c>
    </row>
    <row r="3" spans="1:3" x14ac:dyDescent="0.3">
      <c r="A3" s="10" t="s">
        <v>100</v>
      </c>
      <c r="B3" s="10" t="s">
        <v>101</v>
      </c>
      <c r="C3" s="10" t="s">
        <v>102</v>
      </c>
    </row>
    <row r="4" spans="1:3" x14ac:dyDescent="0.3">
      <c r="A4" s="11">
        <v>1</v>
      </c>
      <c r="B4" s="11" t="s">
        <v>103</v>
      </c>
      <c r="C4" s="11" t="s">
        <v>104</v>
      </c>
    </row>
    <row r="5" spans="1:3" x14ac:dyDescent="0.3">
      <c r="A5" s="11">
        <v>2</v>
      </c>
      <c r="B5" s="11" t="s">
        <v>105</v>
      </c>
      <c r="C5" s="11" t="s">
        <v>106</v>
      </c>
    </row>
    <row r="6" spans="1:3" x14ac:dyDescent="0.3">
      <c r="A6" s="11">
        <v>3</v>
      </c>
      <c r="B6" s="11" t="s">
        <v>107</v>
      </c>
      <c r="C6" s="11" t="s">
        <v>108</v>
      </c>
    </row>
    <row r="7" spans="1:3" x14ac:dyDescent="0.3">
      <c r="A7" s="11">
        <v>4</v>
      </c>
      <c r="B7" s="11" t="s">
        <v>109</v>
      </c>
      <c r="C7" s="11" t="s">
        <v>110</v>
      </c>
    </row>
    <row r="8" spans="1:3" x14ac:dyDescent="0.3">
      <c r="A8" s="11">
        <v>5</v>
      </c>
      <c r="B8" s="11" t="s">
        <v>111</v>
      </c>
      <c r="C8" s="11" t="s">
        <v>112</v>
      </c>
    </row>
    <row r="10" spans="1:3" ht="15.6" x14ac:dyDescent="0.3">
      <c r="A10" s="9" t="s">
        <v>113</v>
      </c>
    </row>
    <row r="11" spans="1:3" x14ac:dyDescent="0.3">
      <c r="A11" s="10" t="s">
        <v>8</v>
      </c>
      <c r="B11" s="10" t="s">
        <v>114</v>
      </c>
      <c r="C11" s="10" t="s">
        <v>115</v>
      </c>
    </row>
    <row r="12" spans="1:3" x14ac:dyDescent="0.3">
      <c r="A12" s="11" t="s">
        <v>116</v>
      </c>
      <c r="B12" s="11" t="s">
        <v>117</v>
      </c>
      <c r="C12" s="11">
        <f>COUNTIF('Matriz de riesgos'!H5:H20,"Crítico")</f>
        <v>6</v>
      </c>
    </row>
    <row r="13" spans="1:3" x14ac:dyDescent="0.3">
      <c r="A13" s="11" t="s">
        <v>118</v>
      </c>
      <c r="B13" s="11" t="s">
        <v>119</v>
      </c>
      <c r="C13" s="11">
        <f>COUNTIF('Matriz de riesgos'!H5:H20,"Alto")</f>
        <v>3</v>
      </c>
    </row>
    <row r="14" spans="1:3" x14ac:dyDescent="0.3">
      <c r="A14" s="11" t="s">
        <v>120</v>
      </c>
      <c r="B14" s="11" t="s">
        <v>121</v>
      </c>
      <c r="C14" s="11">
        <f>COUNTIF('Matriz de riesgos'!H5:H20,"Medio")</f>
        <v>7</v>
      </c>
    </row>
    <row r="15" spans="1:3" x14ac:dyDescent="0.3">
      <c r="A15" s="11" t="s">
        <v>122</v>
      </c>
      <c r="B15" s="11" t="s">
        <v>123</v>
      </c>
      <c r="C15" s="11">
        <f>COUNTIF('Matriz de riesgos'!H5:H20,"Bajo")</f>
        <v>0</v>
      </c>
    </row>
    <row r="17" spans="1:6" ht="15.6" x14ac:dyDescent="0.3">
      <c r="A17" s="9" t="s">
        <v>124</v>
      </c>
    </row>
    <row r="18" spans="1:6" x14ac:dyDescent="0.3">
      <c r="A18" s="10" t="s">
        <v>3</v>
      </c>
      <c r="B18" s="10" t="s">
        <v>125</v>
      </c>
      <c r="C18" s="10" t="s">
        <v>126</v>
      </c>
    </row>
    <row r="19" spans="1:6" x14ac:dyDescent="0.3">
      <c r="A19" s="12" t="s">
        <v>57</v>
      </c>
      <c r="B19" s="12">
        <f>COUNTIF('Matriz de riesgos'!C5:C20,A19)</f>
        <v>5</v>
      </c>
      <c r="C19" s="13">
        <f>AVERAGEIF('Matriz de riesgos'!C5:C20,A19,'Matriz de riesgos'!G5:G20)</f>
        <v>13.6</v>
      </c>
    </row>
    <row r="20" spans="1:6" x14ac:dyDescent="0.3">
      <c r="A20" s="12" t="s">
        <v>14</v>
      </c>
      <c r="B20" s="12">
        <f>COUNTIF('Matriz de riesgos'!C5:C20,A20)</f>
        <v>6</v>
      </c>
      <c r="C20" s="13">
        <f>AVERAGEIF('Matriz de riesgos'!C5:C20,A20,'Matriz de riesgos'!G5:G20)</f>
        <v>17.5</v>
      </c>
    </row>
    <row r="21" spans="1:6" x14ac:dyDescent="0.3">
      <c r="A21" s="12" t="s">
        <v>46</v>
      </c>
      <c r="B21" s="12">
        <f>COUNTIF('Matriz de riesgos'!C5:C20,A21)</f>
        <v>2</v>
      </c>
      <c r="C21" s="13">
        <f>AVERAGEIF('Matriz de riesgos'!C5:C20,A21,'Matriz de riesgos'!G5:G20)</f>
        <v>17.5</v>
      </c>
    </row>
    <row r="22" spans="1:6" x14ac:dyDescent="0.3">
      <c r="A22" s="12" t="s">
        <v>84</v>
      </c>
      <c r="B22" s="12">
        <f>COUNTIF('Matriz de riesgos'!C5:C20,A22)</f>
        <v>3</v>
      </c>
      <c r="C22" s="13">
        <f>AVERAGEIF('Matriz de riesgos'!C5:C20,A22,'Matriz de riesgos'!G5:G20)</f>
        <v>14</v>
      </c>
    </row>
    <row r="25" spans="1:6" ht="15.6" x14ac:dyDescent="0.3">
      <c r="A25" s="9" t="s">
        <v>127</v>
      </c>
    </row>
    <row r="26" spans="1:6" x14ac:dyDescent="0.3">
      <c r="A26" s="14" t="s">
        <v>128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</row>
    <row r="27" spans="1:6" x14ac:dyDescent="0.3">
      <c r="A27" s="3">
        <v>5</v>
      </c>
      <c r="B27" s="15">
        <f>COUNTIFS('Matriz de riesgos'!$E$5:$E$20,1,'Matriz de riesgos'!$F$5:$F$20,5)</f>
        <v>0</v>
      </c>
      <c r="C27" s="15">
        <f>COUNTIFS('Matriz de riesgos'!$E$5:$E$20,2,'Matriz de riesgos'!$F$5:$F$20,5)</f>
        <v>0</v>
      </c>
      <c r="D27" s="15">
        <f>COUNTIFS('Matriz de riesgos'!$E$5:$E$20,3,'Matriz de riesgos'!$F$5:$F$20,5)</f>
        <v>0</v>
      </c>
      <c r="E27" s="15">
        <f>COUNTIFS('Matriz de riesgos'!$E$5:$E$20,4,'Matriz de riesgos'!$F$5:$F$20,5)</f>
        <v>3</v>
      </c>
      <c r="F27" s="15">
        <f>COUNTIFS('Matriz de riesgos'!$E$5:$E$20,5,'Matriz de riesgos'!$F$5:$F$20,5)</f>
        <v>1</v>
      </c>
    </row>
    <row r="28" spans="1:6" x14ac:dyDescent="0.3">
      <c r="A28" s="3">
        <v>4</v>
      </c>
      <c r="B28" s="15">
        <f>COUNTIFS('Matriz de riesgos'!$E$5:$E$20,1,'Matriz de riesgos'!$F$5:$F$20,4)</f>
        <v>0</v>
      </c>
      <c r="C28" s="15">
        <f>COUNTIFS('Matriz de riesgos'!$E$5:$E$20,2,'Matriz de riesgos'!$F$5:$F$20,4)</f>
        <v>0</v>
      </c>
      <c r="D28" s="15">
        <f>COUNTIFS('Matriz de riesgos'!$E$5:$E$20,3,'Matriz de riesgos'!$F$5:$F$20,4)</f>
        <v>0</v>
      </c>
      <c r="E28" s="15">
        <f>COUNTIFS('Matriz de riesgos'!$E$5:$E$20,4,'Matriz de riesgos'!$F$5:$F$20,4)</f>
        <v>1</v>
      </c>
      <c r="F28" s="15">
        <f>COUNTIFS('Matriz de riesgos'!$E$5:$E$20,5,'Matriz de riesgos'!$F$5:$F$20,4)</f>
        <v>2</v>
      </c>
    </row>
    <row r="29" spans="1:6" x14ac:dyDescent="0.3">
      <c r="A29" s="3">
        <v>3</v>
      </c>
      <c r="B29" s="15">
        <f>COUNTIFS('Matriz de riesgos'!$E$5:$E$20,1,'Matriz de riesgos'!$F$5:$F$20,3)</f>
        <v>0</v>
      </c>
      <c r="C29" s="15">
        <f>COUNTIFS('Matriz de riesgos'!$E$5:$E$20,2,'Matriz de riesgos'!$F$5:$F$20,3)</f>
        <v>0</v>
      </c>
      <c r="D29" s="15">
        <f>COUNTIFS('Matriz de riesgos'!$E$5:$E$20,3,'Matriz de riesgos'!$F$5:$F$20,3)</f>
        <v>1</v>
      </c>
      <c r="E29" s="15">
        <f>COUNTIFS('Matriz de riesgos'!$E$5:$E$20,4,'Matriz de riesgos'!$F$5:$F$20,3)</f>
        <v>5</v>
      </c>
      <c r="F29" s="15">
        <f>COUNTIFS('Matriz de riesgos'!$E$5:$E$20,5,'Matriz de riesgos'!$F$5:$F$20,3)</f>
        <v>2</v>
      </c>
    </row>
    <row r="30" spans="1:6" x14ac:dyDescent="0.3">
      <c r="A30" s="3">
        <v>2</v>
      </c>
      <c r="B30" s="15">
        <f>COUNTIFS('Matriz de riesgos'!$E$5:$E$20,1,'Matriz de riesgos'!$F$5:$F$20,2)</f>
        <v>0</v>
      </c>
      <c r="C30" s="15">
        <f>COUNTIFS('Matriz de riesgos'!$E$5:$E$20,2,'Matriz de riesgos'!$F$5:$F$20,2)</f>
        <v>0</v>
      </c>
      <c r="D30" s="15">
        <f>COUNTIFS('Matriz de riesgos'!$E$5:$E$20,3,'Matriz de riesgos'!$F$5:$F$20,2)</f>
        <v>0</v>
      </c>
      <c r="E30" s="15">
        <f>COUNTIFS('Matriz de riesgos'!$E$5:$E$20,4,'Matriz de riesgos'!$F$5:$F$20,2)</f>
        <v>0</v>
      </c>
      <c r="F30" s="15">
        <f>COUNTIFS('Matriz de riesgos'!$E$5:$E$20,5,'Matriz de riesgos'!$F$5:$F$20,2)</f>
        <v>1</v>
      </c>
    </row>
    <row r="31" spans="1:6" x14ac:dyDescent="0.3">
      <c r="A31" s="3">
        <v>1</v>
      </c>
      <c r="B31" s="15">
        <f>COUNTIFS('Matriz de riesgos'!$E$5:$E$20,1,'Matriz de riesgos'!$F$5:$F$20,1)</f>
        <v>0</v>
      </c>
      <c r="C31" s="15">
        <f>COUNTIFS('Matriz de riesgos'!$E$5:$E$20,2,'Matriz de riesgos'!$F$5:$F$20,1)</f>
        <v>0</v>
      </c>
      <c r="D31" s="15">
        <f>COUNTIFS('Matriz de riesgos'!$E$5:$E$20,3,'Matriz de riesgos'!$F$5:$F$20,1)</f>
        <v>0</v>
      </c>
      <c r="E31" s="15">
        <f>COUNTIFS('Matriz de riesgos'!$E$5:$E$20,4,'Matriz de riesgos'!$F$5:$F$20,1)</f>
        <v>0</v>
      </c>
      <c r="F31" s="15">
        <f>COUNTIFS('Matriz de riesgos'!$E$5:$E$20,5,'Matriz de riesgos'!$F$5:$F$20,1)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</vt:lpstr>
      <vt:lpstr>Escalas y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MYRKA NEFTALI SALAZAR MORALES</cp:lastModifiedBy>
  <cp:revision>0</cp:revision>
  <dcterms:created xsi:type="dcterms:W3CDTF">2026-09-28T06:09:31Z</dcterms:created>
  <dcterms:modified xsi:type="dcterms:W3CDTF">2026-09-28T06:20:27Z</dcterms:modified>
  <dc:language>en-US</dc:language>
</cp:coreProperties>
</file>