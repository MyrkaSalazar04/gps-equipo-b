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yrka\gps-equipo-b\docs\practica-06\"/>
    </mc:Choice>
  </mc:AlternateContent>
  <xr:revisionPtr revIDLastSave="0" documentId="13_ncr:1_{8571664A-F660-42FF-BC09-70FCB4D8DB76}" xr6:coauthVersionLast="47" xr6:coauthVersionMax="47" xr10:uidLastSave="{00000000-0000-0000-0000-000000000000}"/>
  <bookViews>
    <workbookView xWindow="-108" yWindow="-108" windowWidth="23256" windowHeight="13896" xr2:uid="{F3AB9C0F-5515-4A4B-AA52-EC5ED1947CD8}"/>
  </bookViews>
  <sheets>
    <sheet name="historial" sheetId="2" r:id="rId1"/>
    <sheet name="Tabla" sheetId="3" r:id="rId2"/>
  </sheets>
  <definedNames>
    <definedName name="DatosExternos_1" localSheetId="0" hidden="1">historial!$A$1:$C$11</definedName>
  </definedNames>
  <calcPr calcId="191029"/>
  <pivotCaches>
    <pivotCache cacheId="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BA44598-D483-4496-B96C-B5853A8B7E88}" keepAlive="1" name="Consulta - historial" description="Conexión a la consulta 'historial' en el libro." type="5" refreshedVersion="8" background="1" saveData="1">
    <dbPr connection="Provider=Microsoft.Mashup.OleDb.1;Data Source=$Workbook$;Location=historial;Extended Properties=&quot;&quot;" command="SELECT * FROM [historial]"/>
  </connection>
</connections>
</file>

<file path=xl/sharedStrings.xml><?xml version="1.0" encoding="utf-8"?>
<sst xmlns="http://schemas.openxmlformats.org/spreadsheetml/2006/main" count="38" uniqueCount="29">
  <si>
    <t xml:space="preserve"> cbarreral </t>
  </si>
  <si>
    <t xml:space="preserve"> 2</t>
  </si>
  <si>
    <t xml:space="preserve"> restructura por segunda vez</t>
  </si>
  <si>
    <t xml:space="preserve"> modulos de inicio</t>
  </si>
  <si>
    <t xml:space="preserve"> modulo info residencia</t>
  </si>
  <si>
    <t xml:space="preserve"> correccion de bugs en el modulo constancia</t>
  </si>
  <si>
    <t xml:space="preserve"> Modulo de Observaciones en carpetas</t>
  </si>
  <si>
    <t xml:space="preserve"> rediseño moderno e incorporación del modulo de observaciones (Chat)</t>
  </si>
  <si>
    <t xml:space="preserve"> integración de la clase phpmailer</t>
  </si>
  <si>
    <t xml:space="preserve"> Carlos Alberto Barrera Lugo </t>
  </si>
  <si>
    <t xml:space="preserve"> Implantación de notificaciones mediante correo</t>
  </si>
  <si>
    <t xml:space="preserve"> Initial commit</t>
  </si>
  <si>
    <t>Fecha</t>
  </si>
  <si>
    <t>Autor</t>
  </si>
  <si>
    <t>Mensaje</t>
  </si>
  <si>
    <t>Semana</t>
  </si>
  <si>
    <t>Fase</t>
  </si>
  <si>
    <t>Cierre / Ajustes finales</t>
  </si>
  <si>
    <t>Reestructura</t>
  </si>
  <si>
    <t>Módulos de inicio</t>
  </si>
  <si>
    <t>Módulo residencia</t>
  </si>
  <si>
    <t>Corrección bugs</t>
  </si>
  <si>
    <t>Módulo observaciones</t>
  </si>
  <si>
    <t>Rediseño + Chat</t>
  </si>
  <si>
    <t>Módulo correo</t>
  </si>
  <si>
    <t>Estructura inicial</t>
  </si>
  <si>
    <t>Etiquetas de fila</t>
  </si>
  <si>
    <t>Total general</t>
  </si>
  <si>
    <t>Cuenta de Mensaje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</si>
</sst>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color rgb="FFF9FAFB"/>
      <name val="Consolas"/>
      <family val="3"/>
    </font>
    <font>
      <sz val="9"/>
      <name val="Segoe U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applyNumberFormat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[actividad.xlsx]Tabla!TablaDinámica1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Tabla!$B$3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Tabla!$A$4:$A$10</c:f>
              <c:strCache>
                <c:ptCount val="6"/>
                <c:pt idx="0">
                  <c:v>13</c:v>
                </c:pt>
                <c:pt idx="1">
                  <c:v>14</c:v>
                </c:pt>
                <c:pt idx="2">
                  <c:v>24</c:v>
                </c:pt>
                <c:pt idx="3">
                  <c:v>25</c:v>
                </c:pt>
                <c:pt idx="4">
                  <c:v>23</c:v>
                </c:pt>
                <c:pt idx="5">
                  <c:v>12</c:v>
                </c:pt>
              </c:strCache>
            </c:strRef>
          </c:cat>
          <c:val>
            <c:numRef>
              <c:f>Tabla!$B$4:$B$10</c:f>
              <c:numCache>
                <c:formatCode>General</c:formatCode>
                <c:ptCount val="6"/>
                <c:pt idx="0">
                  <c:v>1</c:v>
                </c:pt>
                <c:pt idx="1">
                  <c:v>3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3E-46F8-A26B-F2B6BD57EB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3248112"/>
        <c:axId val="129652752"/>
      </c:barChart>
      <c:catAx>
        <c:axId val="253248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9652752"/>
        <c:crosses val="autoZero"/>
        <c:auto val="1"/>
        <c:lblAlgn val="ctr"/>
        <c:lblOffset val="100"/>
        <c:noMultiLvlLbl val="0"/>
      </c:catAx>
      <c:valAx>
        <c:axId val="129652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53248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</xdr:colOff>
      <xdr:row>3</xdr:row>
      <xdr:rowOff>41910</xdr:rowOff>
    </xdr:from>
    <xdr:to>
      <xdr:col>8</xdr:col>
      <xdr:colOff>632460</xdr:colOff>
      <xdr:row>18</xdr:row>
      <xdr:rowOff>41910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3D690E-F4EC-D75E-2AF7-FCCE79460E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yrka Neftalí Salazar" refreshedDate="46292.808313541667" createdVersion="8" refreshedVersion="8" minRefreshableVersion="3" recordCount="10" xr:uid="{0028EAFB-9B35-4472-84DE-3612D44359F0}">
  <cacheSource type="worksheet">
    <worksheetSource ref="A1:E11" sheet="historial"/>
  </cacheSource>
  <cacheFields count="5">
    <cacheField name="Fecha" numFmtId="14">
      <sharedItems containsSemiMixedTypes="0" containsNonDate="0" containsDate="1" containsString="0" minDate="2021-03-27T00:00:00" maxDate="2021-06-22T00:00:00"/>
    </cacheField>
    <cacheField name="Autor" numFmtId="0">
      <sharedItems/>
    </cacheField>
    <cacheField name="Mensaje" numFmtId="0">
      <sharedItems/>
    </cacheField>
    <cacheField name="Semana" numFmtId="0">
      <sharedItems containsSemiMixedTypes="0" containsString="0" containsNumber="1" containsInteger="1" minValue="1" maxValue="25" count="8">
        <n v="25"/>
        <n v="24"/>
        <n v="23"/>
        <n v="14"/>
        <n v="13"/>
        <n v="12"/>
        <n v="15" u="1"/>
        <n v="1" u="1"/>
      </sharedItems>
    </cacheField>
    <cacheField name="Fas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d v="2021-06-21T00:00:00"/>
    <s v=" cbarreral "/>
    <s v=" 2"/>
    <x v="0"/>
    <s v="Cierre / Ajustes finales"/>
  </r>
  <r>
    <d v="2021-06-19T00:00:00"/>
    <s v=" cbarreral "/>
    <s v=" restructura por segunda vez"/>
    <x v="1"/>
    <s v="Reestructura"/>
  </r>
  <r>
    <d v="2021-06-11T00:00:00"/>
    <s v=" cbarreral "/>
    <s v=" modulos de inicio"/>
    <x v="2"/>
    <s v="Módulos de inicio"/>
  </r>
  <r>
    <d v="2021-06-09T00:00:00"/>
    <s v=" cbarreral "/>
    <s v=" modulo info residencia"/>
    <x v="2"/>
    <s v="Módulo residencia"/>
  </r>
  <r>
    <d v="2021-04-09T00:00:00"/>
    <s v=" cbarreral "/>
    <s v=" correccion de bugs en el modulo constancia"/>
    <x v="3"/>
    <s v="Corrección bugs"/>
  </r>
  <r>
    <d v="2021-04-08T00:00:00"/>
    <s v=" cbarreral "/>
    <s v=" Modulo de Observaciones en carpetas"/>
    <x v="3"/>
    <s v="Módulo observaciones"/>
  </r>
  <r>
    <d v="2021-04-08T00:00:00"/>
    <s v=" cbarreral "/>
    <s v=" rediseño moderno e incorporación del modulo de observaciones (Chat)"/>
    <x v="3"/>
    <s v="Rediseño + Chat"/>
  </r>
  <r>
    <d v="2021-03-29T00:00:00"/>
    <s v=" cbarreral "/>
    <s v=" integración de la clase phpmailer"/>
    <x v="4"/>
    <s v="Módulo correo"/>
  </r>
  <r>
    <d v="2021-03-27T00:00:00"/>
    <s v=" Carlos Alberto Barrera Lugo "/>
    <s v=" Implantación de notificaciones mediante correo"/>
    <x v="5"/>
    <s v="Módulo correo"/>
  </r>
  <r>
    <d v="2021-03-27T00:00:00"/>
    <s v=" Carlos Alberto Barrera Lugo "/>
    <s v=" Initial commit"/>
    <x v="5"/>
    <s v="Estructura inicia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184BF0-2669-4762-93A5-10556F847873}" name="TablaDinámica1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3:B10" firstHeaderRow="1" firstDataRow="1" firstDataCol="1"/>
  <pivotFields count="5">
    <pivotField numFmtId="14" showAll="0"/>
    <pivotField showAll="0"/>
    <pivotField dataField="1" showAll="0"/>
    <pivotField axis="axisRow" showAll="0">
      <items count="9">
        <item m="1" x="7"/>
        <item x="4"/>
        <item x="3"/>
        <item m="1" x="6"/>
        <item x="1"/>
        <item x="0"/>
        <item x="2"/>
        <item x="5"/>
        <item t="default"/>
      </items>
    </pivotField>
    <pivotField showAll="0"/>
  </pivotFields>
  <rowFields count="1">
    <field x="3"/>
  </rowFields>
  <rowItems count="7">
    <i>
      <x v="1"/>
    </i>
    <i>
      <x v="2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uenta de Mensaje" fld="2" subtotal="count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4E47348E-78E6-4274-A020-A53BA7276BDD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Column1" tableColumnId="1"/>
      <queryTableField id="2" name="Column2" tableColumnId="2"/>
      <queryTableField id="3" name="Column3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002E0E-888F-4238-ACCB-028623032715}" name="historial" displayName="historial" ref="A1:E11" tableType="queryTable" totalsRowShown="0">
  <autoFilter ref="A1:E11" xr:uid="{4F002E0E-888F-4238-ACCB-028623032715}"/>
  <tableColumns count="5">
    <tableColumn id="1" xr3:uid="{885FD781-FEC1-404D-9121-06683A6A47C5}" uniqueName="1" name="Fecha" queryTableFieldId="1" dataDxfId="4"/>
    <tableColumn id="2" xr3:uid="{0EA41A00-9B9C-48A8-8836-1453716AA562}" uniqueName="2" name="Autor" queryTableFieldId="2" dataDxfId="3"/>
    <tableColumn id="3" xr3:uid="{E27E1ECB-2260-4618-BE1B-3744E65945D5}" uniqueName="3" name="Mensaje" queryTableFieldId="3" dataDxfId="2"/>
    <tableColumn id="4" xr3:uid="{27CF60E7-3E0E-465F-855D-A1B2FF1F5DEA}" uniqueName="4" name="Semana" queryTableFieldId="4" dataDxfId="0">
      <calculatedColumnFormula>_xlfn.ISOWEEKNUM(A2)</calculatedColumnFormula>
    </tableColumn>
    <tableColumn id="5" xr3:uid="{985EF32E-E104-4E39-9D2D-95C57BCB030A}" uniqueName="5" name="Fase" queryTableFieldId="5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DF7B0-8BF6-4110-A462-0F42CA6F450E}">
  <dimension ref="A1:E11"/>
  <sheetViews>
    <sheetView tabSelected="1" zoomScaleNormal="100" workbookViewId="0">
      <selection activeCell="A14" sqref="A14"/>
    </sheetView>
  </sheetViews>
  <sheetFormatPr baseColWidth="10" defaultRowHeight="14.4" x14ac:dyDescent="0.3"/>
  <cols>
    <col min="1" max="1" width="10.6640625" bestFit="1" customWidth="1"/>
    <col min="2" max="2" width="23.77734375" bestFit="1" customWidth="1"/>
    <col min="3" max="3" width="58.44140625" bestFit="1" customWidth="1"/>
    <col min="5" max="5" width="18.77734375" customWidth="1"/>
  </cols>
  <sheetData>
    <row r="1" spans="1:5" x14ac:dyDescent="0.3">
      <c r="A1" t="s">
        <v>12</v>
      </c>
      <c r="B1" t="s">
        <v>13</v>
      </c>
      <c r="C1" t="s">
        <v>14</v>
      </c>
      <c r="D1" s="2" t="s">
        <v>15</v>
      </c>
      <c r="E1" s="2" t="s">
        <v>16</v>
      </c>
    </row>
    <row r="2" spans="1:5" x14ac:dyDescent="0.3">
      <c r="A2" s="1">
        <v>44368</v>
      </c>
      <c r="B2" t="s">
        <v>0</v>
      </c>
      <c r="C2" t="s">
        <v>1</v>
      </c>
      <c r="D2" s="3">
        <f>_xlfn.ISOWEEKNUM(A2)</f>
        <v>25</v>
      </c>
      <c r="E2" s="4" t="s">
        <v>17</v>
      </c>
    </row>
    <row r="3" spans="1:5" x14ac:dyDescent="0.3">
      <c r="A3" s="1">
        <v>44366</v>
      </c>
      <c r="B3" t="s">
        <v>0</v>
      </c>
      <c r="C3" t="s">
        <v>2</v>
      </c>
      <c r="D3" s="3">
        <f t="shared" ref="D2:D11" si="0">_xlfn.ISOWEEKNUM(A3)</f>
        <v>24</v>
      </c>
      <c r="E3" s="4" t="s">
        <v>18</v>
      </c>
    </row>
    <row r="4" spans="1:5" x14ac:dyDescent="0.3">
      <c r="A4" s="1">
        <v>44358</v>
      </c>
      <c r="B4" t="s">
        <v>0</v>
      </c>
      <c r="C4" t="s">
        <v>3</v>
      </c>
      <c r="D4" s="3">
        <f t="shared" si="0"/>
        <v>23</v>
      </c>
      <c r="E4" s="4" t="s">
        <v>19</v>
      </c>
    </row>
    <row r="5" spans="1:5" x14ac:dyDescent="0.3">
      <c r="A5" s="1">
        <v>44356</v>
      </c>
      <c r="B5" t="s">
        <v>0</v>
      </c>
      <c r="C5" t="s">
        <v>4</v>
      </c>
      <c r="D5" s="3">
        <f t="shared" si="0"/>
        <v>23</v>
      </c>
      <c r="E5" s="4" t="s">
        <v>20</v>
      </c>
    </row>
    <row r="6" spans="1:5" x14ac:dyDescent="0.3">
      <c r="A6" s="1">
        <v>44295</v>
      </c>
      <c r="B6" t="s">
        <v>0</v>
      </c>
      <c r="C6" t="s">
        <v>5</v>
      </c>
      <c r="D6" s="3">
        <f t="shared" si="0"/>
        <v>14</v>
      </c>
      <c r="E6" s="4" t="s">
        <v>21</v>
      </c>
    </row>
    <row r="7" spans="1:5" x14ac:dyDescent="0.3">
      <c r="A7" s="1">
        <v>44294</v>
      </c>
      <c r="B7" t="s">
        <v>0</v>
      </c>
      <c r="C7" t="s">
        <v>6</v>
      </c>
      <c r="D7" s="3">
        <f t="shared" si="0"/>
        <v>14</v>
      </c>
      <c r="E7" s="4" t="s">
        <v>22</v>
      </c>
    </row>
    <row r="8" spans="1:5" x14ac:dyDescent="0.3">
      <c r="A8" s="1">
        <v>44294</v>
      </c>
      <c r="B8" t="s">
        <v>0</v>
      </c>
      <c r="C8" t="s">
        <v>7</v>
      </c>
      <c r="D8" s="3">
        <f t="shared" si="0"/>
        <v>14</v>
      </c>
      <c r="E8" s="4" t="s">
        <v>23</v>
      </c>
    </row>
    <row r="9" spans="1:5" x14ac:dyDescent="0.3">
      <c r="A9" s="1">
        <v>44284</v>
      </c>
      <c r="B9" t="s">
        <v>0</v>
      </c>
      <c r="C9" t="s">
        <v>8</v>
      </c>
      <c r="D9" s="3">
        <f t="shared" si="0"/>
        <v>13</v>
      </c>
      <c r="E9" s="4" t="s">
        <v>24</v>
      </c>
    </row>
    <row r="10" spans="1:5" x14ac:dyDescent="0.3">
      <c r="A10" s="1">
        <v>44282</v>
      </c>
      <c r="B10" t="s">
        <v>9</v>
      </c>
      <c r="C10" t="s">
        <v>10</v>
      </c>
      <c r="D10" s="3">
        <f t="shared" si="0"/>
        <v>12</v>
      </c>
      <c r="E10" s="4" t="s">
        <v>24</v>
      </c>
    </row>
    <row r="11" spans="1:5" x14ac:dyDescent="0.3">
      <c r="A11" s="1">
        <v>44282</v>
      </c>
      <c r="B11" t="s">
        <v>9</v>
      </c>
      <c r="C11" t="s">
        <v>11</v>
      </c>
      <c r="D11" s="3">
        <f t="shared" si="0"/>
        <v>12</v>
      </c>
      <c r="E11" s="4" t="s">
        <v>25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3AB2F-B914-4F0C-A10A-6E70530C1644}">
  <dimension ref="A3:B10"/>
  <sheetViews>
    <sheetView zoomScaleNormal="100" workbookViewId="0">
      <selection activeCell="B15" sqref="B15"/>
    </sheetView>
  </sheetViews>
  <sheetFormatPr baseColWidth="10" defaultRowHeight="14.4" x14ac:dyDescent="0.3"/>
  <cols>
    <col min="1" max="1" width="16.5546875" bestFit="1" customWidth="1"/>
    <col min="2" max="3" width="16.6640625" bestFit="1" customWidth="1"/>
  </cols>
  <sheetData>
    <row r="3" spans="1:2" x14ac:dyDescent="0.3">
      <c r="A3" s="5" t="s">
        <v>26</v>
      </c>
      <c r="B3" t="s">
        <v>28</v>
      </c>
    </row>
    <row r="4" spans="1:2" x14ac:dyDescent="0.3">
      <c r="A4" s="6">
        <v>13</v>
      </c>
      <c r="B4" s="3">
        <v>1</v>
      </c>
    </row>
    <row r="5" spans="1:2" x14ac:dyDescent="0.3">
      <c r="A5" s="6">
        <v>14</v>
      </c>
      <c r="B5" s="3">
        <v>3</v>
      </c>
    </row>
    <row r="6" spans="1:2" x14ac:dyDescent="0.3">
      <c r="A6" s="6">
        <v>24</v>
      </c>
      <c r="B6" s="3">
        <v>1</v>
      </c>
    </row>
    <row r="7" spans="1:2" x14ac:dyDescent="0.3">
      <c r="A7" s="6">
        <v>25</v>
      </c>
      <c r="B7" s="3">
        <v>1</v>
      </c>
    </row>
    <row r="8" spans="1:2" x14ac:dyDescent="0.3">
      <c r="A8" s="6">
        <v>23</v>
      </c>
      <c r="B8" s="3">
        <v>2</v>
      </c>
    </row>
    <row r="9" spans="1:2" x14ac:dyDescent="0.3">
      <c r="A9" s="6">
        <v>12</v>
      </c>
      <c r="B9" s="3">
        <v>2</v>
      </c>
    </row>
    <row r="10" spans="1:2" x14ac:dyDescent="0.3">
      <c r="A10" s="6" t="s">
        <v>27</v>
      </c>
      <c r="B10" s="3">
        <v>10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558EBD0-7114-4F95-BF60-E7FFADF2FB8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historial</vt:lpstr>
      <vt:lpstr>Tabla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MYRKA NEFTALI SALAZAR MORALES</dc:creator>
  <cp:lastModifiedBy>MYRKA NEFTALI SALAZAR MORALES</cp:lastModifiedBy>
  <dcterms:created xsi:type="dcterms:W3CDTF">2026-09-28T00:22:03Z</dcterms:created>
  <dcterms:modified xsi:type="dcterms:W3CDTF">2026-09-28T01:57:41Z</dcterms:modified>
</cp:coreProperties>
</file>